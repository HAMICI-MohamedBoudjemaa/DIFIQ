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Mon Drive\DiFiQ - Cours\N1 - Produits de taux\2025\"/>
    </mc:Choice>
  </mc:AlternateContent>
  <xr:revisionPtr revIDLastSave="0" documentId="13_ncr:1_{940944E4-EFF7-46A3-B063-76F6711CBB93}" xr6:coauthVersionLast="47" xr6:coauthVersionMax="47" xr10:uidLastSave="{00000000-0000-0000-0000-000000000000}"/>
  <bookViews>
    <workbookView xWindow="-103" yWindow="-103" windowWidth="24892" windowHeight="15634" xr2:uid="{BD40E552-7B29-4809-8D8C-1B3A1BDAF3C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9" i="1" l="1"/>
  <c r="G346" i="1"/>
  <c r="G345" i="1"/>
  <c r="G344" i="1"/>
  <c r="G343" i="1"/>
  <c r="G342" i="1"/>
  <c r="G341" i="1"/>
  <c r="B346" i="1"/>
  <c r="B345" i="1"/>
  <c r="B344" i="1"/>
  <c r="B343" i="1"/>
  <c r="B342" i="1"/>
  <c r="C343" i="1"/>
  <c r="C344" i="1"/>
  <c r="C345" i="1"/>
  <c r="C346" i="1"/>
  <c r="C342" i="1"/>
  <c r="E345" i="1"/>
  <c r="E346" i="1" s="1"/>
  <c r="E341" i="1"/>
  <c r="D343" i="1"/>
  <c r="D344" i="1"/>
  <c r="D345" i="1"/>
  <c r="D346" i="1"/>
  <c r="D342" i="1"/>
  <c r="K142" i="1"/>
  <c r="J142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145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146" i="1"/>
  <c r="H145" i="1"/>
  <c r="G147" i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146" i="1"/>
  <c r="D327" i="1"/>
  <c r="C327" i="1"/>
  <c r="B327" i="1"/>
  <c r="C147" i="1"/>
  <c r="D147" i="1"/>
  <c r="E147" i="1" s="1"/>
  <c r="C146" i="1"/>
  <c r="D146" i="1" s="1"/>
  <c r="E146" i="1" s="1"/>
  <c r="E145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146" i="1"/>
  <c r="B142" i="1"/>
  <c r="B141" i="1"/>
  <c r="B139" i="1"/>
  <c r="B138" i="1"/>
  <c r="G113" i="1"/>
  <c r="G125" i="1"/>
  <c r="G124" i="1"/>
  <c r="G123" i="1"/>
  <c r="G122" i="1"/>
  <c r="G121" i="1"/>
  <c r="G120" i="1"/>
  <c r="G119" i="1"/>
  <c r="G118" i="1"/>
  <c r="G117" i="1"/>
  <c r="G116" i="1"/>
  <c r="G115" i="1"/>
  <c r="D127" i="1"/>
  <c r="C127" i="1"/>
  <c r="B127" i="1"/>
  <c r="C117" i="1"/>
  <c r="D117" i="1"/>
  <c r="E117" i="1" s="1"/>
  <c r="E116" i="1"/>
  <c r="D116" i="1"/>
  <c r="C116" i="1"/>
  <c r="E115" i="1"/>
  <c r="B117" i="1"/>
  <c r="B118" i="1"/>
  <c r="B119" i="1"/>
  <c r="B120" i="1"/>
  <c r="B121" i="1"/>
  <c r="B122" i="1"/>
  <c r="B123" i="1"/>
  <c r="B124" i="1"/>
  <c r="B125" i="1"/>
  <c r="B116" i="1"/>
  <c r="B113" i="1"/>
  <c r="B112" i="1"/>
  <c r="E90" i="1"/>
  <c r="E89" i="1"/>
  <c r="E88" i="1"/>
  <c r="E87" i="1"/>
  <c r="E86" i="1"/>
  <c r="E85" i="1"/>
  <c r="C82" i="1" s="1"/>
  <c r="C86" i="1"/>
  <c r="C87" i="1"/>
  <c r="C88" i="1"/>
  <c r="C89" i="1"/>
  <c r="C90" i="1"/>
  <c r="C85" i="1"/>
  <c r="D65" i="1"/>
  <c r="F70" i="1"/>
  <c r="F69" i="1"/>
  <c r="F68" i="1"/>
  <c r="C65" i="1"/>
  <c r="C69" i="1"/>
  <c r="C70" i="1"/>
  <c r="C68" i="1"/>
  <c r="G56" i="1"/>
  <c r="I56" i="1" s="1"/>
  <c r="J56" i="1" s="1"/>
  <c r="G55" i="1"/>
  <c r="I55" i="1" s="1"/>
  <c r="J55" i="1" s="1"/>
  <c r="F54" i="1"/>
  <c r="E54" i="1"/>
  <c r="G54" i="1" s="1"/>
  <c r="I54" i="1" s="1"/>
  <c r="J54" i="1" s="1"/>
  <c r="C56" i="1"/>
  <c r="C55" i="1"/>
  <c r="C54" i="1"/>
  <c r="B42" i="1"/>
  <c r="C45" i="1"/>
  <c r="B40" i="1"/>
  <c r="B41" i="1"/>
  <c r="B43" i="1"/>
  <c r="B44" i="1"/>
  <c r="B45" i="1"/>
  <c r="B39" i="1"/>
  <c r="D26" i="1"/>
  <c r="D27" i="1" s="1"/>
  <c r="H27" i="1" s="1"/>
  <c r="G28" i="1"/>
  <c r="C29" i="1"/>
  <c r="D28" i="1"/>
  <c r="H28" i="1" s="1"/>
  <c r="C28" i="1"/>
  <c r="C27" i="1"/>
  <c r="G27" i="1" s="1"/>
  <c r="G29" i="1" s="1"/>
  <c r="B19" i="1"/>
  <c r="C13" i="1"/>
  <c r="B14" i="1"/>
  <c r="E7" i="1"/>
  <c r="D7" i="1"/>
  <c r="C7" i="1"/>
  <c r="B9" i="1"/>
  <c r="B4" i="1"/>
  <c r="E342" i="1" l="1"/>
  <c r="M142" i="1"/>
  <c r="C148" i="1"/>
  <c r="D148" i="1" s="1"/>
  <c r="E148" i="1" s="1"/>
  <c r="C118" i="1"/>
  <c r="D118" i="1" s="1"/>
  <c r="E118" i="1"/>
  <c r="C92" i="1"/>
  <c r="C72" i="1"/>
  <c r="C58" i="1"/>
  <c r="H29" i="1"/>
  <c r="D29" i="1"/>
  <c r="E343" i="1" l="1"/>
  <c r="C149" i="1"/>
  <c r="D149" i="1" s="1"/>
  <c r="E149" i="1"/>
  <c r="C119" i="1"/>
  <c r="D119" i="1" s="1"/>
  <c r="E119" i="1"/>
  <c r="E344" i="1" l="1"/>
  <c r="C150" i="1"/>
  <c r="D150" i="1" s="1"/>
  <c r="E150" i="1" s="1"/>
  <c r="C120" i="1"/>
  <c r="D120" i="1" s="1"/>
  <c r="E120" i="1"/>
  <c r="C151" i="1" l="1"/>
  <c r="D151" i="1" s="1"/>
  <c r="E151" i="1"/>
  <c r="C121" i="1"/>
  <c r="D121" i="1" s="1"/>
  <c r="E121" i="1" s="1"/>
  <c r="C152" i="1" l="1"/>
  <c r="D152" i="1" s="1"/>
  <c r="E152" i="1" s="1"/>
  <c r="C122" i="1"/>
  <c r="D122" i="1" s="1"/>
  <c r="E122" i="1" s="1"/>
  <c r="C153" i="1" l="1"/>
  <c r="D153" i="1" s="1"/>
  <c r="E153" i="1"/>
  <c r="C123" i="1"/>
  <c r="D123" i="1" s="1"/>
  <c r="E123" i="1"/>
  <c r="C154" i="1" l="1"/>
  <c r="D154" i="1" s="1"/>
  <c r="E154" i="1"/>
  <c r="C124" i="1"/>
  <c r="D124" i="1" s="1"/>
  <c r="E124" i="1"/>
  <c r="C155" i="1" l="1"/>
  <c r="D155" i="1" s="1"/>
  <c r="E155" i="1" s="1"/>
  <c r="C125" i="1"/>
  <c r="D125" i="1" s="1"/>
  <c r="E125" i="1" s="1"/>
  <c r="C156" i="1" l="1"/>
  <c r="D156" i="1" s="1"/>
  <c r="E156" i="1"/>
  <c r="C157" i="1" l="1"/>
  <c r="D157" i="1" s="1"/>
  <c r="E157" i="1" s="1"/>
  <c r="C158" i="1" l="1"/>
  <c r="D158" i="1" s="1"/>
  <c r="E158" i="1"/>
  <c r="C159" i="1" l="1"/>
  <c r="D159" i="1" s="1"/>
  <c r="E159" i="1"/>
  <c r="C160" i="1" l="1"/>
  <c r="D160" i="1" s="1"/>
  <c r="E160" i="1"/>
  <c r="C161" i="1" l="1"/>
  <c r="D161" i="1" s="1"/>
  <c r="E161" i="1" s="1"/>
  <c r="C162" i="1" l="1"/>
  <c r="D162" i="1" s="1"/>
  <c r="E162" i="1"/>
  <c r="C163" i="1" l="1"/>
  <c r="D163" i="1" s="1"/>
  <c r="E163" i="1"/>
  <c r="C164" i="1" l="1"/>
  <c r="D164" i="1" s="1"/>
  <c r="E164" i="1"/>
  <c r="C165" i="1" l="1"/>
  <c r="D165" i="1" s="1"/>
  <c r="E165" i="1" s="1"/>
  <c r="C166" i="1" l="1"/>
  <c r="D166" i="1" s="1"/>
  <c r="E166" i="1"/>
  <c r="C167" i="1" l="1"/>
  <c r="D167" i="1" s="1"/>
  <c r="E167" i="1"/>
  <c r="C168" i="1" l="1"/>
  <c r="D168" i="1" s="1"/>
  <c r="E168" i="1" s="1"/>
  <c r="C169" i="1" l="1"/>
  <c r="D169" i="1" s="1"/>
  <c r="E169" i="1"/>
  <c r="E170" i="1" l="1"/>
  <c r="C170" i="1"/>
  <c r="D170" i="1" s="1"/>
  <c r="C171" i="1" l="1"/>
  <c r="D171" i="1" s="1"/>
  <c r="E171" i="1" s="1"/>
  <c r="C172" i="1" l="1"/>
  <c r="D172" i="1" s="1"/>
  <c r="E172" i="1"/>
  <c r="C173" i="1" l="1"/>
  <c r="D173" i="1" s="1"/>
  <c r="E173" i="1" s="1"/>
  <c r="C174" i="1" l="1"/>
  <c r="D174" i="1" s="1"/>
  <c r="E174" i="1" s="1"/>
  <c r="C175" i="1" l="1"/>
  <c r="D175" i="1" s="1"/>
  <c r="E175" i="1"/>
  <c r="C176" i="1" l="1"/>
  <c r="D176" i="1" s="1"/>
  <c r="E176" i="1" s="1"/>
  <c r="C177" i="1" l="1"/>
  <c r="D177" i="1" s="1"/>
  <c r="E177" i="1" s="1"/>
  <c r="C178" i="1" l="1"/>
  <c r="D178" i="1" s="1"/>
  <c r="E178" i="1" s="1"/>
  <c r="C179" i="1" l="1"/>
  <c r="D179" i="1" s="1"/>
  <c r="E179" i="1" s="1"/>
  <c r="C180" i="1" l="1"/>
  <c r="D180" i="1" s="1"/>
  <c r="E180" i="1"/>
  <c r="C181" i="1" l="1"/>
  <c r="D181" i="1" s="1"/>
  <c r="E181" i="1" s="1"/>
  <c r="C182" i="1" l="1"/>
  <c r="D182" i="1" s="1"/>
  <c r="E182" i="1"/>
  <c r="C183" i="1" l="1"/>
  <c r="D183" i="1" s="1"/>
  <c r="E183" i="1"/>
  <c r="C184" i="1" l="1"/>
  <c r="D184" i="1" s="1"/>
  <c r="E184" i="1" s="1"/>
  <c r="C185" i="1" l="1"/>
  <c r="D185" i="1" s="1"/>
  <c r="E185" i="1"/>
  <c r="C186" i="1" l="1"/>
  <c r="D186" i="1" s="1"/>
  <c r="E186" i="1" s="1"/>
  <c r="C187" i="1" l="1"/>
  <c r="D187" i="1" s="1"/>
  <c r="E187" i="1"/>
  <c r="C188" i="1" l="1"/>
  <c r="D188" i="1" s="1"/>
  <c r="E188" i="1"/>
  <c r="C189" i="1" l="1"/>
  <c r="D189" i="1" s="1"/>
  <c r="E189" i="1" s="1"/>
  <c r="C190" i="1" l="1"/>
  <c r="D190" i="1" s="1"/>
  <c r="E190" i="1"/>
  <c r="C191" i="1" l="1"/>
  <c r="D191" i="1" s="1"/>
  <c r="E191" i="1"/>
  <c r="C192" i="1" l="1"/>
  <c r="D192" i="1" s="1"/>
  <c r="E192" i="1" s="1"/>
  <c r="C193" i="1" l="1"/>
  <c r="D193" i="1" s="1"/>
  <c r="E193" i="1"/>
  <c r="C194" i="1" l="1"/>
  <c r="D194" i="1" s="1"/>
  <c r="E194" i="1" s="1"/>
  <c r="C195" i="1" l="1"/>
  <c r="D195" i="1" s="1"/>
  <c r="E195" i="1"/>
  <c r="C196" i="1" l="1"/>
  <c r="D196" i="1" s="1"/>
  <c r="E196" i="1"/>
  <c r="C197" i="1" l="1"/>
  <c r="D197" i="1" s="1"/>
  <c r="E197" i="1" s="1"/>
  <c r="C198" i="1" l="1"/>
  <c r="D198" i="1" s="1"/>
  <c r="E198" i="1" s="1"/>
  <c r="C199" i="1" l="1"/>
  <c r="D199" i="1" s="1"/>
  <c r="E199" i="1"/>
  <c r="E200" i="1" l="1"/>
  <c r="C200" i="1"/>
  <c r="D200" i="1" s="1"/>
  <c r="C201" i="1" l="1"/>
  <c r="D201" i="1" s="1"/>
  <c r="E201" i="1"/>
  <c r="C202" i="1" l="1"/>
  <c r="D202" i="1" s="1"/>
  <c r="E202" i="1"/>
  <c r="C203" i="1" l="1"/>
  <c r="D203" i="1" s="1"/>
  <c r="E203" i="1"/>
  <c r="C204" i="1" l="1"/>
  <c r="D204" i="1" s="1"/>
  <c r="E204" i="1"/>
  <c r="C205" i="1" l="1"/>
  <c r="D205" i="1" s="1"/>
  <c r="E205" i="1" s="1"/>
  <c r="C206" i="1" l="1"/>
  <c r="D206" i="1" s="1"/>
  <c r="E206" i="1"/>
  <c r="C207" i="1" l="1"/>
  <c r="D207" i="1" s="1"/>
  <c r="E207" i="1"/>
  <c r="C208" i="1" l="1"/>
  <c r="D208" i="1" s="1"/>
  <c r="E208" i="1" s="1"/>
  <c r="C209" i="1" l="1"/>
  <c r="D209" i="1" s="1"/>
  <c r="E209" i="1"/>
  <c r="C210" i="1" l="1"/>
  <c r="D210" i="1" s="1"/>
  <c r="E210" i="1" s="1"/>
  <c r="C211" i="1" l="1"/>
  <c r="D211" i="1" s="1"/>
  <c r="E211" i="1"/>
  <c r="C212" i="1" l="1"/>
  <c r="D212" i="1" s="1"/>
  <c r="E212" i="1"/>
  <c r="C213" i="1" l="1"/>
  <c r="D213" i="1" s="1"/>
  <c r="E213" i="1" s="1"/>
  <c r="C214" i="1" l="1"/>
  <c r="D214" i="1" s="1"/>
  <c r="E214" i="1" s="1"/>
  <c r="C215" i="1" l="1"/>
  <c r="D215" i="1" s="1"/>
  <c r="E215" i="1"/>
  <c r="C216" i="1" l="1"/>
  <c r="D216" i="1" s="1"/>
  <c r="E216" i="1" s="1"/>
  <c r="C217" i="1" l="1"/>
  <c r="D217" i="1" s="1"/>
  <c r="E217" i="1"/>
  <c r="C218" i="1" l="1"/>
  <c r="D218" i="1" s="1"/>
  <c r="E218" i="1" s="1"/>
  <c r="C219" i="1" l="1"/>
  <c r="D219" i="1" s="1"/>
  <c r="E219" i="1"/>
  <c r="C220" i="1" l="1"/>
  <c r="D220" i="1" s="1"/>
  <c r="E220" i="1"/>
  <c r="C221" i="1" l="1"/>
  <c r="D221" i="1" s="1"/>
  <c r="E221" i="1" s="1"/>
  <c r="C222" i="1" l="1"/>
  <c r="D222" i="1" s="1"/>
  <c r="E222" i="1"/>
  <c r="C223" i="1" l="1"/>
  <c r="D223" i="1" s="1"/>
  <c r="E223" i="1"/>
  <c r="C224" i="1" l="1"/>
  <c r="D224" i="1" s="1"/>
  <c r="E224" i="1" s="1"/>
  <c r="C225" i="1" l="1"/>
  <c r="D225" i="1" s="1"/>
  <c r="E225" i="1" s="1"/>
  <c r="C226" i="1" l="1"/>
  <c r="D226" i="1" s="1"/>
  <c r="E226" i="1"/>
  <c r="C227" i="1" l="1"/>
  <c r="D227" i="1" s="1"/>
  <c r="E227" i="1"/>
  <c r="C228" i="1" l="1"/>
  <c r="D228" i="1" s="1"/>
  <c r="E228" i="1"/>
  <c r="C229" i="1" l="1"/>
  <c r="D229" i="1" s="1"/>
  <c r="E229" i="1" s="1"/>
  <c r="E230" i="1" l="1"/>
  <c r="C230" i="1"/>
  <c r="D230" i="1" s="1"/>
  <c r="C231" i="1" l="1"/>
  <c r="D231" i="1" s="1"/>
  <c r="E231" i="1"/>
  <c r="C232" i="1" l="1"/>
  <c r="D232" i="1" s="1"/>
  <c r="E232" i="1" s="1"/>
  <c r="C233" i="1" l="1"/>
  <c r="D233" i="1" s="1"/>
  <c r="E233" i="1"/>
  <c r="C234" i="1" l="1"/>
  <c r="D234" i="1" s="1"/>
  <c r="E234" i="1"/>
  <c r="C235" i="1" l="1"/>
  <c r="D235" i="1" s="1"/>
  <c r="E235" i="1" s="1"/>
  <c r="C236" i="1" l="1"/>
  <c r="D236" i="1" s="1"/>
  <c r="E236" i="1"/>
  <c r="C237" i="1" l="1"/>
  <c r="D237" i="1" s="1"/>
  <c r="E237" i="1" s="1"/>
  <c r="C238" i="1" l="1"/>
  <c r="D238" i="1" s="1"/>
  <c r="E238" i="1"/>
  <c r="C239" i="1" l="1"/>
  <c r="D239" i="1" s="1"/>
  <c r="E239" i="1"/>
  <c r="C240" i="1" l="1"/>
  <c r="D240" i="1" s="1"/>
  <c r="E240" i="1"/>
  <c r="C241" i="1" l="1"/>
  <c r="D241" i="1" s="1"/>
  <c r="E241" i="1" s="1"/>
  <c r="C242" i="1" l="1"/>
  <c r="D242" i="1" s="1"/>
  <c r="E242" i="1" s="1"/>
  <c r="C243" i="1" l="1"/>
  <c r="D243" i="1" s="1"/>
  <c r="E243" i="1"/>
  <c r="C244" i="1" l="1"/>
  <c r="D244" i="1" s="1"/>
  <c r="E244" i="1"/>
  <c r="C245" i="1" l="1"/>
  <c r="D245" i="1" s="1"/>
  <c r="E245" i="1"/>
  <c r="C246" i="1" l="1"/>
  <c r="D246" i="1" s="1"/>
  <c r="E246" i="1" s="1"/>
  <c r="C247" i="1" l="1"/>
  <c r="D247" i="1" s="1"/>
  <c r="E247" i="1"/>
  <c r="C248" i="1" l="1"/>
  <c r="D248" i="1" s="1"/>
  <c r="E248" i="1" s="1"/>
  <c r="C249" i="1" l="1"/>
  <c r="D249" i="1" s="1"/>
  <c r="E249" i="1"/>
  <c r="C250" i="1" l="1"/>
  <c r="D250" i="1" s="1"/>
  <c r="E250" i="1"/>
  <c r="C251" i="1" l="1"/>
  <c r="D251" i="1" s="1"/>
  <c r="E251" i="1" s="1"/>
  <c r="C252" i="1" l="1"/>
  <c r="D252" i="1" s="1"/>
  <c r="E252" i="1"/>
  <c r="C253" i="1" l="1"/>
  <c r="D253" i="1" s="1"/>
  <c r="E253" i="1" s="1"/>
  <c r="C254" i="1" l="1"/>
  <c r="D254" i="1" s="1"/>
  <c r="E254" i="1"/>
  <c r="C255" i="1" l="1"/>
  <c r="D255" i="1" s="1"/>
  <c r="E255" i="1" s="1"/>
  <c r="C256" i="1" l="1"/>
  <c r="D256" i="1" s="1"/>
  <c r="E256" i="1"/>
  <c r="C257" i="1" l="1"/>
  <c r="D257" i="1" s="1"/>
  <c r="E257" i="1" s="1"/>
  <c r="C258" i="1" l="1"/>
  <c r="D258" i="1" s="1"/>
  <c r="E258" i="1" s="1"/>
  <c r="C259" i="1" l="1"/>
  <c r="D259" i="1" s="1"/>
  <c r="E259" i="1"/>
  <c r="C260" i="1" l="1"/>
  <c r="D260" i="1" s="1"/>
  <c r="E260" i="1"/>
  <c r="C261" i="1" l="1"/>
  <c r="D261" i="1" s="1"/>
  <c r="E261" i="1" s="1"/>
  <c r="C262" i="1" l="1"/>
  <c r="D262" i="1" s="1"/>
  <c r="E262" i="1" s="1"/>
  <c r="C263" i="1" l="1"/>
  <c r="D263" i="1" s="1"/>
  <c r="E263" i="1"/>
  <c r="C264" i="1" l="1"/>
  <c r="D264" i="1" s="1"/>
  <c r="E264" i="1" s="1"/>
  <c r="C265" i="1" l="1"/>
  <c r="D265" i="1" s="1"/>
  <c r="E265" i="1"/>
  <c r="C266" i="1" l="1"/>
  <c r="D266" i="1" s="1"/>
  <c r="E266" i="1" s="1"/>
  <c r="C267" i="1" l="1"/>
  <c r="D267" i="1" s="1"/>
  <c r="E267" i="1" s="1"/>
  <c r="C268" i="1" l="1"/>
  <c r="D268" i="1" s="1"/>
  <c r="E268" i="1"/>
  <c r="C269" i="1" l="1"/>
  <c r="D269" i="1" s="1"/>
  <c r="E269" i="1" s="1"/>
  <c r="C270" i="1" l="1"/>
  <c r="D270" i="1" s="1"/>
  <c r="E270" i="1"/>
  <c r="C271" i="1" l="1"/>
  <c r="D271" i="1" s="1"/>
  <c r="E271" i="1"/>
  <c r="C272" i="1" l="1"/>
  <c r="D272" i="1" s="1"/>
  <c r="E272" i="1" s="1"/>
  <c r="C273" i="1" l="1"/>
  <c r="D273" i="1" s="1"/>
  <c r="E273" i="1" s="1"/>
  <c r="C274" i="1" l="1"/>
  <c r="D274" i="1" s="1"/>
  <c r="E274" i="1"/>
  <c r="C275" i="1" l="1"/>
  <c r="D275" i="1" s="1"/>
  <c r="E275" i="1"/>
  <c r="C276" i="1" l="1"/>
  <c r="D276" i="1" s="1"/>
  <c r="E276" i="1"/>
  <c r="C277" i="1" l="1"/>
  <c r="D277" i="1" s="1"/>
  <c r="E277" i="1" s="1"/>
  <c r="C278" i="1" l="1"/>
  <c r="D278" i="1" s="1"/>
  <c r="E278" i="1"/>
  <c r="C279" i="1" l="1"/>
  <c r="D279" i="1" s="1"/>
  <c r="E279" i="1"/>
  <c r="C280" i="1" l="1"/>
  <c r="D280" i="1" s="1"/>
  <c r="E280" i="1" s="1"/>
  <c r="C281" i="1" l="1"/>
  <c r="D281" i="1" s="1"/>
  <c r="E281" i="1"/>
  <c r="C282" i="1" l="1"/>
  <c r="D282" i="1" s="1"/>
  <c r="E282" i="1"/>
  <c r="C283" i="1" l="1"/>
  <c r="D283" i="1" s="1"/>
  <c r="E283" i="1" s="1"/>
  <c r="C284" i="1" l="1"/>
  <c r="D284" i="1" s="1"/>
  <c r="E284" i="1"/>
  <c r="C285" i="1" l="1"/>
  <c r="D285" i="1" s="1"/>
  <c r="E285" i="1" s="1"/>
  <c r="C286" i="1" l="1"/>
  <c r="D286" i="1" s="1"/>
  <c r="E286" i="1"/>
  <c r="C287" i="1" l="1"/>
  <c r="D287" i="1" s="1"/>
  <c r="E287" i="1"/>
  <c r="C288" i="1" l="1"/>
  <c r="D288" i="1" s="1"/>
  <c r="E288" i="1"/>
  <c r="C289" i="1" l="1"/>
  <c r="D289" i="1" s="1"/>
  <c r="E289" i="1"/>
  <c r="C290" i="1" l="1"/>
  <c r="D290" i="1" s="1"/>
  <c r="E290" i="1"/>
  <c r="C291" i="1" l="1"/>
  <c r="D291" i="1" s="1"/>
  <c r="E291" i="1"/>
  <c r="C292" i="1" l="1"/>
  <c r="D292" i="1" s="1"/>
  <c r="E292" i="1"/>
  <c r="C293" i="1" l="1"/>
  <c r="D293" i="1" s="1"/>
  <c r="E293" i="1" s="1"/>
  <c r="C294" i="1" l="1"/>
  <c r="D294" i="1" s="1"/>
  <c r="E294" i="1" s="1"/>
  <c r="C295" i="1" l="1"/>
  <c r="D295" i="1" s="1"/>
  <c r="E295" i="1"/>
  <c r="C296" i="1" l="1"/>
  <c r="D296" i="1" s="1"/>
  <c r="E296" i="1" s="1"/>
  <c r="C297" i="1" l="1"/>
  <c r="D297" i="1" s="1"/>
  <c r="E297" i="1"/>
  <c r="C298" i="1" l="1"/>
  <c r="D298" i="1" s="1"/>
  <c r="E298" i="1"/>
  <c r="C299" i="1" l="1"/>
  <c r="D299" i="1" s="1"/>
  <c r="E299" i="1" s="1"/>
  <c r="C300" i="1" l="1"/>
  <c r="D300" i="1" s="1"/>
  <c r="E300" i="1"/>
  <c r="C301" i="1" l="1"/>
  <c r="D301" i="1" s="1"/>
  <c r="E301" i="1" s="1"/>
  <c r="C302" i="1" l="1"/>
  <c r="D302" i="1" s="1"/>
  <c r="E302" i="1"/>
  <c r="C303" i="1" l="1"/>
  <c r="D303" i="1" s="1"/>
  <c r="E303" i="1"/>
  <c r="C304" i="1" l="1"/>
  <c r="D304" i="1" s="1"/>
  <c r="E304" i="1"/>
  <c r="C305" i="1" l="1"/>
  <c r="D305" i="1" s="1"/>
  <c r="E305" i="1"/>
  <c r="C306" i="1" l="1"/>
  <c r="D306" i="1" s="1"/>
  <c r="E306" i="1"/>
  <c r="C307" i="1" l="1"/>
  <c r="D307" i="1" s="1"/>
  <c r="E307" i="1"/>
  <c r="C308" i="1" l="1"/>
  <c r="D308" i="1" s="1"/>
  <c r="E308" i="1"/>
  <c r="C309" i="1" l="1"/>
  <c r="D309" i="1" s="1"/>
  <c r="E309" i="1" s="1"/>
  <c r="C310" i="1" l="1"/>
  <c r="D310" i="1" s="1"/>
  <c r="E310" i="1"/>
  <c r="C311" i="1" l="1"/>
  <c r="D311" i="1" s="1"/>
  <c r="E311" i="1" s="1"/>
  <c r="C312" i="1" l="1"/>
  <c r="D312" i="1" s="1"/>
  <c r="E312" i="1" s="1"/>
  <c r="C313" i="1" l="1"/>
  <c r="D313" i="1" s="1"/>
  <c r="E313" i="1"/>
  <c r="C314" i="1" l="1"/>
  <c r="D314" i="1" s="1"/>
  <c r="E314" i="1"/>
  <c r="C315" i="1" l="1"/>
  <c r="D315" i="1" s="1"/>
  <c r="E315" i="1"/>
  <c r="C316" i="1" l="1"/>
  <c r="D316" i="1" s="1"/>
  <c r="E316" i="1"/>
  <c r="C317" i="1" l="1"/>
  <c r="D317" i="1" s="1"/>
  <c r="E317" i="1" s="1"/>
  <c r="C318" i="1" l="1"/>
  <c r="D318" i="1" s="1"/>
  <c r="E318" i="1"/>
  <c r="C319" i="1" l="1"/>
  <c r="D319" i="1" s="1"/>
  <c r="E319" i="1"/>
  <c r="C320" i="1" l="1"/>
  <c r="D320" i="1" s="1"/>
  <c r="E320" i="1" s="1"/>
  <c r="C321" i="1" l="1"/>
  <c r="D321" i="1" s="1"/>
  <c r="E321" i="1"/>
  <c r="C322" i="1" l="1"/>
  <c r="D322" i="1" s="1"/>
  <c r="E322" i="1"/>
  <c r="C323" i="1" l="1"/>
  <c r="D323" i="1" s="1"/>
  <c r="E323" i="1" s="1"/>
  <c r="C324" i="1" l="1"/>
  <c r="D324" i="1" s="1"/>
  <c r="E324" i="1"/>
  <c r="C325" i="1" l="1"/>
  <c r="D325" i="1" s="1"/>
  <c r="E325" i="1" s="1"/>
</calcChain>
</file>

<file path=xl/sharedStrings.xml><?xml version="1.0" encoding="utf-8"?>
<sst xmlns="http://schemas.openxmlformats.org/spreadsheetml/2006/main" count="118" uniqueCount="71">
  <si>
    <t>V0</t>
  </si>
  <si>
    <t>r</t>
  </si>
  <si>
    <t>n</t>
  </si>
  <si>
    <t>Vn</t>
  </si>
  <si>
    <t>&lt; la valeur actuelle de 1000€ pour la maturité 3 ans / à horizon 3 ans</t>
  </si>
  <si>
    <t>Intérêts postcomptés vs précomptés</t>
  </si>
  <si>
    <t>Postcompté</t>
  </si>
  <si>
    <t>Précompté</t>
  </si>
  <si>
    <t>Capital</t>
  </si>
  <si>
    <t>Taux nominal</t>
  </si>
  <si>
    <t>Aujourd'hui je reçois</t>
  </si>
  <si>
    <t>Dans 1 an je rembourse</t>
  </si>
  <si>
    <t>Taux effectif</t>
  </si>
  <si>
    <t>&lt; TRA, TRI</t>
  </si>
  <si>
    <t>Intérêts composés</t>
  </si>
  <si>
    <t>Taux</t>
  </si>
  <si>
    <t>Fréq</t>
  </si>
  <si>
    <t>Val acquise</t>
  </si>
  <si>
    <t>VAN et TRI</t>
  </si>
  <si>
    <t>Taux marché</t>
  </si>
  <si>
    <t>Années</t>
  </si>
  <si>
    <t>Flux</t>
  </si>
  <si>
    <t>VA</t>
  </si>
  <si>
    <t>VAN</t>
  </si>
  <si>
    <t>Durée</t>
  </si>
  <si>
    <t>2 placements 1 an et 2 ans sur le marché (taux 3%)</t>
  </si>
  <si>
    <t>Plct 1 an</t>
  </si>
  <si>
    <t>Plct 2 ans</t>
  </si>
  <si>
    <t>TOTAL</t>
  </si>
  <si>
    <t>l'investissement de mon cousin "bat" le marché de 53,83€</t>
  </si>
  <si>
    <t>Emprunt marché</t>
  </si>
  <si>
    <t>Gain net</t>
  </si>
  <si>
    <t>je peux me mettre la VAN dans la poche en finançant l'investissement de mon cousin par 2 emprunts sur le marché</t>
  </si>
  <si>
    <t>Calculer le TRI de cet investissement</t>
  </si>
  <si>
    <t>C'est le taux d'actualisation qui annule la VAN</t>
  </si>
  <si>
    <t>En anglais IRR (ou YTM dans le cadre des obligations par exemple)</t>
  </si>
  <si>
    <t>TRI</t>
  </si>
  <si>
    <t>&lt; avec les fonctions TRI d'Excel</t>
  </si>
  <si>
    <t>VAN = 0 &lt;=&gt; TRI = Taux marché</t>
  </si>
  <si>
    <t>VAN &gt; 0 &lt;=&gt; TRI &gt; Taux marché</t>
  </si>
  <si>
    <t>VAN &lt; 0 &lt;=&gt; TRI &lt; Taux marché</t>
  </si>
  <si>
    <t>TRA d'une obligation</t>
  </si>
  <si>
    <t>C'est le TRI de l'investissement consistant à acheter l'obligation puis à recevoir l'ensemble de ses flux futurs</t>
  </si>
  <si>
    <t>Yield To Maturity en anglais (YTM)</t>
  </si>
  <si>
    <t>TRA</t>
  </si>
  <si>
    <t>Dates</t>
  </si>
  <si>
    <t>Prix &gt; 100 (Obligation est au-dessus du pair) &lt;=&gt; TRA &lt; Taux facial</t>
  </si>
  <si>
    <t>Prix = 100 (Obligation est au pair) &lt;=&gt; TRA = Taux facial</t>
  </si>
  <si>
    <t>Prix &lt; 100 (Obligation en-dessous du pair) &lt;=&gt; TRA &gt; Taux facial</t>
  </si>
  <si>
    <t>Soit un emprunt de 1 M€ sur 10 ans au taux de 1,50 % et remboursé par annuités constantes</t>
  </si>
  <si>
    <t>–Quelle est l’annuité constante à payer?</t>
  </si>
  <si>
    <t>–Construire le tableau d’amortissement</t>
  </si>
  <si>
    <t>Emprunts amortissables</t>
  </si>
  <si>
    <t>Annuité</t>
  </si>
  <si>
    <t>Coût crédit</t>
  </si>
  <si>
    <t>Année</t>
  </si>
  <si>
    <t>Paiement</t>
  </si>
  <si>
    <t>Intérêts</t>
  </si>
  <si>
    <t>CRD</t>
  </si>
  <si>
    <t>–Quel est le montant des mensualités ?</t>
  </si>
  <si>
    <t>Soit un emprunt immobilier de 200k€ sur 15 ans au taux de 3.10% et  remboursé par mensualités constantes</t>
  </si>
  <si>
    <t>&lt; taux nominal de l'emprunt</t>
  </si>
  <si>
    <t>Durée (mois)</t>
  </si>
  <si>
    <t>Taux mensuel</t>
  </si>
  <si>
    <t>Mensualité</t>
  </si>
  <si>
    <t>Mois</t>
  </si>
  <si>
    <t>Calculons le TRI de cet emprunt</t>
  </si>
  <si>
    <t>T</t>
  </si>
  <si>
    <t>Soit un emprunt 5 ans de 5m€ remboursé par amortissement constant</t>
  </si>
  <si>
    <t>Taux de l'emprunt : 4%</t>
  </si>
  <si>
    <t>Déterminer le 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</si>
</sst>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168" formatCode="0.000%"/>
    <numFmt numFmtId="169" formatCode="0.0000%"/>
    <numFmt numFmtId="176" formatCode="#,##0.00\ &quot;€&quot;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10" fontId="0" fillId="0" borderId="0" xfId="0" applyNumberFormat="1"/>
    <xf numFmtId="10" fontId="0" fillId="0" borderId="0" xfId="1" applyNumberFormat="1" applyFont="1"/>
    <xf numFmtId="9" fontId="0" fillId="0" borderId="0" xfId="0" applyNumberFormat="1"/>
    <xf numFmtId="168" fontId="0" fillId="0" borderId="0" xfId="0" applyNumberFormat="1"/>
    <xf numFmtId="168" fontId="0" fillId="0" borderId="0" xfId="1" applyNumberFormat="1" applyFont="1"/>
    <xf numFmtId="169" fontId="0" fillId="0" borderId="0" xfId="1" applyNumberFormat="1" applyFont="1"/>
    <xf numFmtId="15" fontId="0" fillId="0" borderId="0" xfId="0" applyNumberFormat="1"/>
    <xf numFmtId="0" fontId="2" fillId="0" borderId="0" xfId="0" applyFont="1"/>
    <xf numFmtId="6" fontId="0" fillId="0" borderId="0" xfId="0" applyNumberFormat="1"/>
    <xf numFmtId="0" fontId="3" fillId="0" borderId="0" xfId="0" applyFont="1" applyAlignment="1">
      <alignment horizontal="right"/>
    </xf>
    <xf numFmtId="8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0" borderId="0" xfId="0" applyFont="1"/>
    <xf numFmtId="10" fontId="4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Font="1"/>
    <xf numFmtId="10" fontId="6" fillId="0" borderId="0" xfId="0" applyNumberFormat="1" applyFont="1" applyAlignment="1">
      <alignment horizontal="center"/>
    </xf>
    <xf numFmtId="6" fontId="0" fillId="0" borderId="0" xfId="0" applyNumberFormat="1" applyAlignment="1">
      <alignment horizontal="center"/>
    </xf>
    <xf numFmtId="169" fontId="0" fillId="0" borderId="0" xfId="0" applyNumberFormat="1" applyFont="1" applyAlignment="1">
      <alignment horizontal="center"/>
    </xf>
    <xf numFmtId="176" fontId="0" fillId="0" borderId="0" xfId="0" applyNumberFormat="1"/>
    <xf numFmtId="8" fontId="0" fillId="0" borderId="0" xfId="0" applyNumberFormat="1" applyAlignment="1">
      <alignment horizontal="center"/>
    </xf>
    <xf numFmtId="168" fontId="4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24882</xdr:colOff>
      <xdr:row>106</xdr:row>
      <xdr:rowOff>47418</xdr:rowOff>
    </xdr:from>
    <xdr:to>
      <xdr:col>6</xdr:col>
      <xdr:colOff>601367</xdr:colOff>
      <xdr:row>109</xdr:row>
      <xdr:rowOff>143068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FD605955-839B-9CF9-BB3C-C3967C194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8833" y="19828316"/>
          <a:ext cx="3030926" cy="655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919E-9068-402B-9832-73BD49C1C80C}">
  <dimension ref="A1:M381"/>
  <sheetViews>
    <sheetView tabSelected="1" zoomScale="115" zoomScaleNormal="115" workbookViewId="0">
      <selection activeCell="C335" sqref="C335"/>
    </sheetView>
  </sheetViews>
  <sheetFormatPr baseColWidth="10" defaultRowHeight="14.6" x14ac:dyDescent="0.4"/>
  <cols>
    <col min="2" max="4" width="12.53515625" bestFit="1" customWidth="1"/>
  </cols>
  <sheetData>
    <row r="1" spans="1:8" x14ac:dyDescent="0.4">
      <c r="A1" t="s">
        <v>0</v>
      </c>
      <c r="B1">
        <v>1000</v>
      </c>
    </row>
    <row r="2" spans="1:8" x14ac:dyDescent="0.4">
      <c r="A2" t="s">
        <v>1</v>
      </c>
      <c r="B2" s="1">
        <v>0.05</v>
      </c>
    </row>
    <row r="3" spans="1:8" x14ac:dyDescent="0.4">
      <c r="A3" t="s">
        <v>2</v>
      </c>
      <c r="B3">
        <v>10</v>
      </c>
    </row>
    <row r="4" spans="1:8" x14ac:dyDescent="0.4">
      <c r="A4" t="s">
        <v>3</v>
      </c>
      <c r="B4" s="16">
        <f>B1*(1+B2)^B3</f>
        <v>1628.8946267774415</v>
      </c>
    </row>
    <row r="6" spans="1:8" x14ac:dyDescent="0.4">
      <c r="A6" t="s">
        <v>0</v>
      </c>
      <c r="B6">
        <v>2000</v>
      </c>
    </row>
    <row r="7" spans="1:8" x14ac:dyDescent="0.4">
      <c r="A7" t="s">
        <v>1</v>
      </c>
      <c r="B7" s="17">
        <v>8.4471771186035369E-2</v>
      </c>
      <c r="C7" s="2">
        <f>(3000/2000)^(1/5)-1</f>
        <v>8.4471771197698553E-2</v>
      </c>
      <c r="D7" s="1">
        <f>IRR(F7:F12)</f>
        <v>8.4471771197341949E-2</v>
      </c>
      <c r="E7" s="2">
        <f>XIRR(H7:H8,G7:G8)</f>
        <v>8.4375503659248355E-2</v>
      </c>
      <c r="F7">
        <v>-2000</v>
      </c>
      <c r="G7" s="7">
        <v>43831</v>
      </c>
      <c r="H7">
        <v>-2000</v>
      </c>
    </row>
    <row r="8" spans="1:8" x14ac:dyDescent="0.4">
      <c r="A8" t="s">
        <v>2</v>
      </c>
      <c r="B8">
        <v>5</v>
      </c>
      <c r="F8">
        <v>0</v>
      </c>
      <c r="G8" s="7">
        <v>45658</v>
      </c>
      <c r="H8">
        <v>3000</v>
      </c>
    </row>
    <row r="9" spans="1:8" x14ac:dyDescent="0.4">
      <c r="A9" t="s">
        <v>3</v>
      </c>
      <c r="B9">
        <f>B6*(1+B7)^B8</f>
        <v>2999.9999998386797</v>
      </c>
      <c r="F9">
        <v>0</v>
      </c>
    </row>
    <row r="10" spans="1:8" x14ac:dyDescent="0.4">
      <c r="F10">
        <v>0</v>
      </c>
    </row>
    <row r="11" spans="1:8" x14ac:dyDescent="0.4">
      <c r="A11" t="s">
        <v>0</v>
      </c>
      <c r="B11">
        <v>100</v>
      </c>
      <c r="F11">
        <v>0</v>
      </c>
    </row>
    <row r="12" spans="1:8" x14ac:dyDescent="0.4">
      <c r="A12" t="s">
        <v>1</v>
      </c>
      <c r="B12" s="1">
        <v>0.04</v>
      </c>
      <c r="F12">
        <v>3000</v>
      </c>
    </row>
    <row r="13" spans="1:8" x14ac:dyDescent="0.4">
      <c r="A13" t="s">
        <v>2</v>
      </c>
      <c r="B13" s="16">
        <v>17.67292148730095</v>
      </c>
      <c r="C13">
        <f>LN(2)/LN(1.04)</f>
        <v>17.672987685129698</v>
      </c>
    </row>
    <row r="14" spans="1:8" x14ac:dyDescent="0.4">
      <c r="A14" t="s">
        <v>3</v>
      </c>
      <c r="B14">
        <f>B11*(1+B12)^B13</f>
        <v>199.99948073546355</v>
      </c>
    </row>
    <row r="16" spans="1:8" x14ac:dyDescent="0.4">
      <c r="A16" t="s">
        <v>3</v>
      </c>
      <c r="B16">
        <v>1000</v>
      </c>
    </row>
    <row r="17" spans="1:8" x14ac:dyDescent="0.4">
      <c r="A17" t="s">
        <v>1</v>
      </c>
      <c r="B17" s="1">
        <v>3.5000000000000003E-2</v>
      </c>
    </row>
    <row r="18" spans="1:8" x14ac:dyDescent="0.4">
      <c r="A18" t="s">
        <v>2</v>
      </c>
      <c r="B18">
        <v>3</v>
      </c>
    </row>
    <row r="19" spans="1:8" x14ac:dyDescent="0.4">
      <c r="A19" t="s">
        <v>0</v>
      </c>
      <c r="B19" s="16">
        <f>B16/(1+B17)^B18</f>
        <v>901.94270566802243</v>
      </c>
      <c r="C19" t="s">
        <v>4</v>
      </c>
    </row>
    <row r="21" spans="1:8" x14ac:dyDescent="0.4">
      <c r="A21" s="3"/>
    </row>
    <row r="22" spans="1:8" x14ac:dyDescent="0.4">
      <c r="A22" s="8" t="s">
        <v>5</v>
      </c>
    </row>
    <row r="24" spans="1:8" x14ac:dyDescent="0.4">
      <c r="C24" s="8" t="s">
        <v>6</v>
      </c>
      <c r="D24" s="8" t="s">
        <v>7</v>
      </c>
    </row>
    <row r="25" spans="1:8" x14ac:dyDescent="0.4">
      <c r="B25" s="10" t="s">
        <v>8</v>
      </c>
      <c r="C25" s="9">
        <v>1000000</v>
      </c>
      <c r="D25" s="9">
        <v>1050000</v>
      </c>
    </row>
    <row r="26" spans="1:8" x14ac:dyDescent="0.4">
      <c r="B26" s="10" t="s">
        <v>9</v>
      </c>
      <c r="C26" s="1">
        <v>0.05</v>
      </c>
      <c r="D26" s="1">
        <f>C26/(1+C26)</f>
        <v>4.7619047619047616E-2</v>
      </c>
    </row>
    <row r="27" spans="1:8" x14ac:dyDescent="0.4">
      <c r="B27" s="10" t="s">
        <v>10</v>
      </c>
      <c r="C27" s="9">
        <f>C25</f>
        <v>1000000</v>
      </c>
      <c r="D27" s="9">
        <f>D25*(1-D26)</f>
        <v>1000000</v>
      </c>
      <c r="G27" s="9">
        <f>C27</f>
        <v>1000000</v>
      </c>
      <c r="H27" s="9">
        <f>D27</f>
        <v>1000000</v>
      </c>
    </row>
    <row r="28" spans="1:8" x14ac:dyDescent="0.4">
      <c r="B28" s="10" t="s">
        <v>11</v>
      </c>
      <c r="C28" s="9">
        <f>C25*(1+C26)</f>
        <v>1050000</v>
      </c>
      <c r="D28" s="9">
        <f>D25</f>
        <v>1050000</v>
      </c>
      <c r="G28" s="9">
        <f>-C28</f>
        <v>-1050000</v>
      </c>
      <c r="H28" s="9">
        <f>-D28</f>
        <v>-1050000</v>
      </c>
    </row>
    <row r="29" spans="1:8" x14ac:dyDescent="0.4">
      <c r="B29" s="10" t="s">
        <v>12</v>
      </c>
      <c r="C29" s="2">
        <f>(C28-C27)/C27</f>
        <v>0.05</v>
      </c>
      <c r="D29" s="2">
        <f>(D28-D27)/D27</f>
        <v>0.05</v>
      </c>
      <c r="E29" s="12" t="s">
        <v>13</v>
      </c>
      <c r="G29" s="1">
        <f>IRR(G27:G28)</f>
        <v>5.0000000000000044E-2</v>
      </c>
      <c r="H29" s="1">
        <f>IRR(H27:H28)</f>
        <v>5.0000000000000044E-2</v>
      </c>
    </row>
    <row r="32" spans="1:8" x14ac:dyDescent="0.4">
      <c r="A32" s="8" t="s">
        <v>14</v>
      </c>
    </row>
    <row r="34" spans="1:3" x14ac:dyDescent="0.4">
      <c r="A34" t="s">
        <v>8</v>
      </c>
      <c r="B34">
        <v>100</v>
      </c>
    </row>
    <row r="35" spans="1:3" x14ac:dyDescent="0.4">
      <c r="A35" t="s">
        <v>9</v>
      </c>
      <c r="B35" s="1">
        <v>0.1</v>
      </c>
    </row>
    <row r="36" spans="1:3" x14ac:dyDescent="0.4">
      <c r="A36" t="s">
        <v>24</v>
      </c>
      <c r="B36">
        <v>1</v>
      </c>
    </row>
    <row r="38" spans="1:3" x14ac:dyDescent="0.4">
      <c r="A38" s="14" t="s">
        <v>16</v>
      </c>
      <c r="B38" s="14" t="s">
        <v>17</v>
      </c>
    </row>
    <row r="39" spans="1:3" x14ac:dyDescent="0.4">
      <c r="A39" s="15">
        <v>1</v>
      </c>
      <c r="B39" s="15">
        <f>$B$34*(1+$B$35/A39)^($B$36*A39)</f>
        <v>110.00000000000001</v>
      </c>
    </row>
    <row r="40" spans="1:3" x14ac:dyDescent="0.4">
      <c r="A40" s="15">
        <v>2</v>
      </c>
      <c r="B40" s="15">
        <f t="shared" ref="B40:B45" si="0">$B$34*(1+$B$35/A40)^($B$36*A40)</f>
        <v>110.25</v>
      </c>
    </row>
    <row r="41" spans="1:3" x14ac:dyDescent="0.4">
      <c r="A41" s="13">
        <v>4</v>
      </c>
      <c r="B41" s="13">
        <f t="shared" si="0"/>
        <v>110.38128906249997</v>
      </c>
    </row>
    <row r="42" spans="1:3" x14ac:dyDescent="0.4">
      <c r="A42" s="15">
        <v>12</v>
      </c>
      <c r="B42" s="15">
        <f t="shared" si="0"/>
        <v>110.47130674412968</v>
      </c>
    </row>
    <row r="43" spans="1:3" x14ac:dyDescent="0.4">
      <c r="A43" s="13">
        <v>52</v>
      </c>
      <c r="B43" s="13">
        <f t="shared" si="0"/>
        <v>110.50647927797658</v>
      </c>
    </row>
    <row r="44" spans="1:3" x14ac:dyDescent="0.4">
      <c r="A44" s="13">
        <v>365</v>
      </c>
      <c r="B44" s="13">
        <f t="shared" si="0"/>
        <v>110.51557816162271</v>
      </c>
    </row>
    <row r="45" spans="1:3" x14ac:dyDescent="0.4">
      <c r="A45" s="13">
        <v>1000000000</v>
      </c>
      <c r="B45" s="13">
        <f t="shared" si="0"/>
        <v>110.51709268175533</v>
      </c>
      <c r="C45">
        <f>B34*EXP(B35*B36)</f>
        <v>110.51709180756477</v>
      </c>
    </row>
    <row r="49" spans="1:10" x14ac:dyDescent="0.4">
      <c r="A49" s="8" t="s">
        <v>18</v>
      </c>
    </row>
    <row r="51" spans="1:10" x14ac:dyDescent="0.4">
      <c r="A51" s="14" t="s">
        <v>19</v>
      </c>
      <c r="B51" s="22">
        <v>0.03</v>
      </c>
    </row>
    <row r="52" spans="1:10" x14ac:dyDescent="0.4">
      <c r="E52" s="12" t="s">
        <v>25</v>
      </c>
    </row>
    <row r="53" spans="1:10" x14ac:dyDescent="0.4">
      <c r="A53" s="18" t="s">
        <v>20</v>
      </c>
      <c r="B53" s="18" t="s">
        <v>21</v>
      </c>
      <c r="C53" s="18" t="s">
        <v>22</v>
      </c>
      <c r="E53" s="18" t="s">
        <v>26</v>
      </c>
      <c r="F53" s="18" t="s">
        <v>27</v>
      </c>
      <c r="G53" s="18" t="s">
        <v>28</v>
      </c>
      <c r="I53" s="18" t="s">
        <v>30</v>
      </c>
      <c r="J53" s="18" t="s">
        <v>31</v>
      </c>
    </row>
    <row r="54" spans="1:10" x14ac:dyDescent="0.4">
      <c r="A54" s="13">
        <v>0</v>
      </c>
      <c r="B54" s="13">
        <v>-1000</v>
      </c>
      <c r="C54" s="13">
        <f>B54/(1+$B$51)^A54</f>
        <v>-1000</v>
      </c>
      <c r="E54">
        <f>-E55/(1+B51)^1</f>
        <v>-582.52427184466023</v>
      </c>
      <c r="F54">
        <f>-F56/(1+B51)^2</f>
        <v>-471.29795456687719</v>
      </c>
      <c r="G54">
        <f>E54+F54</f>
        <v>-1053.8222264115375</v>
      </c>
      <c r="I54">
        <f>-G54</f>
        <v>1053.8222264115375</v>
      </c>
      <c r="J54">
        <f>B54+I54</f>
        <v>53.822226411537486</v>
      </c>
    </row>
    <row r="55" spans="1:10" x14ac:dyDescent="0.4">
      <c r="A55" s="13">
        <v>1</v>
      </c>
      <c r="B55" s="13">
        <v>600</v>
      </c>
      <c r="C55" s="13">
        <f t="shared" ref="C55:C56" si="1">B55/(1+$B$51)^A55</f>
        <v>582.52427184466023</v>
      </c>
      <c r="E55">
        <v>600</v>
      </c>
      <c r="G55">
        <f>E55+F55</f>
        <v>600</v>
      </c>
      <c r="I55">
        <f>-G55</f>
        <v>-600</v>
      </c>
      <c r="J55">
        <f>B55+I55</f>
        <v>0</v>
      </c>
    </row>
    <row r="56" spans="1:10" x14ac:dyDescent="0.4">
      <c r="A56" s="13">
        <v>2</v>
      </c>
      <c r="B56" s="13">
        <v>500</v>
      </c>
      <c r="C56" s="13">
        <f t="shared" si="1"/>
        <v>471.29795456687719</v>
      </c>
      <c r="F56">
        <v>500</v>
      </c>
      <c r="G56">
        <f>E56+F56</f>
        <v>500</v>
      </c>
      <c r="I56">
        <f>-G56</f>
        <v>-500</v>
      </c>
      <c r="J56">
        <f>B56+I56</f>
        <v>0</v>
      </c>
    </row>
    <row r="58" spans="1:10" x14ac:dyDescent="0.4">
      <c r="B58" s="14" t="s">
        <v>23</v>
      </c>
      <c r="C58" s="16">
        <f>SUM(C54:C56)</f>
        <v>53.822226411537429</v>
      </c>
      <c r="E58" s="12" t="s">
        <v>29</v>
      </c>
    </row>
    <row r="59" spans="1:10" x14ac:dyDescent="0.4">
      <c r="E59" s="12" t="s">
        <v>32</v>
      </c>
    </row>
    <row r="60" spans="1:10" x14ac:dyDescent="0.4">
      <c r="B60" s="11"/>
    </row>
    <row r="61" spans="1:10" x14ac:dyDescent="0.4">
      <c r="A61" s="8" t="s">
        <v>33</v>
      </c>
    </row>
    <row r="62" spans="1:10" x14ac:dyDescent="0.4">
      <c r="A62" s="12" t="s">
        <v>34</v>
      </c>
    </row>
    <row r="63" spans="1:10" x14ac:dyDescent="0.4">
      <c r="A63" s="12" t="s">
        <v>35</v>
      </c>
    </row>
    <row r="65" spans="1:6" x14ac:dyDescent="0.4">
      <c r="A65" s="14" t="s">
        <v>36</v>
      </c>
      <c r="B65" s="21">
        <v>6.8114566063619195E-2</v>
      </c>
      <c r="C65" s="1">
        <f>IRR(B68:B70)</f>
        <v>6.811457478686056E-2</v>
      </c>
      <c r="D65" s="2">
        <f>XIRR(F68:F70,E68:E70)</f>
        <v>6.8114575743675243E-2</v>
      </c>
      <c r="E65" s="12" t="s">
        <v>37</v>
      </c>
    </row>
    <row r="67" spans="1:6" x14ac:dyDescent="0.4">
      <c r="A67" s="18" t="s">
        <v>20</v>
      </c>
      <c r="B67" s="18" t="s">
        <v>21</v>
      </c>
      <c r="C67" s="18" t="s">
        <v>22</v>
      </c>
    </row>
    <row r="68" spans="1:6" x14ac:dyDescent="0.4">
      <c r="A68" s="13">
        <v>0</v>
      </c>
      <c r="B68" s="13">
        <v>-1000</v>
      </c>
      <c r="C68" s="13">
        <f>B68/(1+$B$65)^A68</f>
        <v>-1000</v>
      </c>
      <c r="E68" s="7">
        <v>45727</v>
      </c>
      <c r="F68">
        <f>B68</f>
        <v>-1000</v>
      </c>
    </row>
    <row r="69" spans="1:6" x14ac:dyDescent="0.4">
      <c r="A69" s="13">
        <v>1</v>
      </c>
      <c r="B69" s="13">
        <v>600</v>
      </c>
      <c r="C69" s="13">
        <f t="shared" ref="C69:C70" si="2">B69/(1+$B$65)^A69</f>
        <v>561.73749433191676</v>
      </c>
      <c r="E69" s="7">
        <v>46092</v>
      </c>
      <c r="F69">
        <f t="shared" ref="F69:F70" si="3">B69</f>
        <v>600</v>
      </c>
    </row>
    <row r="70" spans="1:6" x14ac:dyDescent="0.4">
      <c r="A70" s="13">
        <v>2</v>
      </c>
      <c r="B70" s="13">
        <v>500</v>
      </c>
      <c r="C70" s="13">
        <f t="shared" si="2"/>
        <v>438.26251741430588</v>
      </c>
      <c r="E70" s="7">
        <v>46457</v>
      </c>
      <c r="F70">
        <f t="shared" si="3"/>
        <v>500</v>
      </c>
    </row>
    <row r="72" spans="1:6" x14ac:dyDescent="0.4">
      <c r="B72" s="20" t="s">
        <v>23</v>
      </c>
      <c r="C72" s="19">
        <f>SUM(C68:C70)</f>
        <v>1.1746222639885673E-5</v>
      </c>
    </row>
    <row r="74" spans="1:6" x14ac:dyDescent="0.4">
      <c r="A74" s="8" t="s">
        <v>39</v>
      </c>
    </row>
    <row r="75" spans="1:6" x14ac:dyDescent="0.4">
      <c r="A75" s="8" t="s">
        <v>38</v>
      </c>
    </row>
    <row r="76" spans="1:6" x14ac:dyDescent="0.4">
      <c r="A76" s="8" t="s">
        <v>40</v>
      </c>
    </row>
    <row r="78" spans="1:6" x14ac:dyDescent="0.4">
      <c r="A78" s="8" t="s">
        <v>41</v>
      </c>
    </row>
    <row r="79" spans="1:6" x14ac:dyDescent="0.4">
      <c r="A79" s="23" t="s">
        <v>42</v>
      </c>
    </row>
    <row r="80" spans="1:6" x14ac:dyDescent="0.4">
      <c r="A80" s="23" t="s">
        <v>43</v>
      </c>
    </row>
    <row r="82" spans="1:5" x14ac:dyDescent="0.4">
      <c r="A82" s="14" t="s">
        <v>44</v>
      </c>
      <c r="B82" s="24">
        <v>4.1097793550300916E-2</v>
      </c>
      <c r="C82" s="22">
        <f>IRR(E84:E90)</f>
        <v>4.1097842899714632E-2</v>
      </c>
    </row>
    <row r="84" spans="1:5" x14ac:dyDescent="0.4">
      <c r="A84" s="18" t="s">
        <v>45</v>
      </c>
      <c r="B84" s="18" t="s">
        <v>21</v>
      </c>
      <c r="C84" s="18" t="s">
        <v>22</v>
      </c>
      <c r="E84">
        <v>-104.65</v>
      </c>
    </row>
    <row r="85" spans="1:5" x14ac:dyDescent="0.4">
      <c r="A85" s="13">
        <v>1</v>
      </c>
      <c r="B85" s="13">
        <v>5</v>
      </c>
      <c r="C85" s="13">
        <f>B85/(1+$B$82)^A85</f>
        <v>4.8026227996788311</v>
      </c>
      <c r="E85">
        <f>B85</f>
        <v>5</v>
      </c>
    </row>
    <row r="86" spans="1:5" x14ac:dyDescent="0.4">
      <c r="A86" s="13">
        <v>2</v>
      </c>
      <c r="B86" s="13">
        <v>5</v>
      </c>
      <c r="C86" s="13">
        <f t="shared" ref="C86:C90" si="4">B86/(1+$B$82)^A86</f>
        <v>4.6130371511989869</v>
      </c>
      <c r="E86">
        <f t="shared" ref="E86:E90" si="5">B86</f>
        <v>5</v>
      </c>
    </row>
    <row r="87" spans="1:5" x14ac:dyDescent="0.4">
      <c r="A87" s="13">
        <v>3</v>
      </c>
      <c r="B87" s="13">
        <v>5</v>
      </c>
      <c r="C87" s="13">
        <f t="shared" si="4"/>
        <v>4.4309354796227476</v>
      </c>
      <c r="E87">
        <f t="shared" si="5"/>
        <v>5</v>
      </c>
    </row>
    <row r="88" spans="1:5" x14ac:dyDescent="0.4">
      <c r="A88" s="13">
        <v>4</v>
      </c>
      <c r="B88" s="13">
        <v>5</v>
      </c>
      <c r="C88" s="13">
        <f t="shared" si="4"/>
        <v>4.2560223516684124</v>
      </c>
      <c r="E88">
        <f t="shared" si="5"/>
        <v>5</v>
      </c>
    </row>
    <row r="89" spans="1:5" x14ac:dyDescent="0.4">
      <c r="A89" s="13">
        <v>5</v>
      </c>
      <c r="B89" s="13">
        <v>5</v>
      </c>
      <c r="C89" s="13">
        <f t="shared" si="4"/>
        <v>4.0880139964130873</v>
      </c>
      <c r="E89">
        <f t="shared" si="5"/>
        <v>5</v>
      </c>
    </row>
    <row r="90" spans="1:5" x14ac:dyDescent="0.4">
      <c r="A90" s="13">
        <v>6</v>
      </c>
      <c r="B90" s="13">
        <v>105</v>
      </c>
      <c r="C90" s="13">
        <f t="shared" si="4"/>
        <v>82.459394743234597</v>
      </c>
      <c r="E90">
        <f t="shared" si="5"/>
        <v>105</v>
      </c>
    </row>
    <row r="92" spans="1:5" x14ac:dyDescent="0.4">
      <c r="C92">
        <f>SUM(C85:C90)</f>
        <v>104.65002652181667</v>
      </c>
    </row>
    <row r="95" spans="1:5" x14ac:dyDescent="0.4">
      <c r="A95" s="8" t="s">
        <v>46</v>
      </c>
    </row>
    <row r="96" spans="1:5" x14ac:dyDescent="0.4">
      <c r="A96" s="8" t="s">
        <v>47</v>
      </c>
    </row>
    <row r="97" spans="1:2" x14ac:dyDescent="0.4">
      <c r="A97" s="8" t="s">
        <v>48</v>
      </c>
    </row>
    <row r="101" spans="1:2" x14ac:dyDescent="0.4">
      <c r="A101" s="8" t="s">
        <v>52</v>
      </c>
    </row>
    <row r="103" spans="1:2" x14ac:dyDescent="0.4">
      <c r="A103" s="8" t="s">
        <v>49</v>
      </c>
    </row>
    <row r="104" spans="1:2" x14ac:dyDescent="0.4">
      <c r="A104" s="8" t="s">
        <v>50</v>
      </c>
    </row>
    <row r="105" spans="1:2" x14ac:dyDescent="0.4">
      <c r="A105" s="8" t="s">
        <v>51</v>
      </c>
    </row>
    <row r="108" spans="1:2" x14ac:dyDescent="0.4">
      <c r="A108" t="s">
        <v>8</v>
      </c>
      <c r="B108" s="9">
        <v>1000000</v>
      </c>
    </row>
    <row r="109" spans="1:2" x14ac:dyDescent="0.4">
      <c r="A109" t="s">
        <v>24</v>
      </c>
      <c r="B109">
        <v>10</v>
      </c>
    </row>
    <row r="110" spans="1:2" x14ac:dyDescent="0.4">
      <c r="A110" t="s">
        <v>15</v>
      </c>
      <c r="B110" s="1">
        <v>1.4999999999999999E-2</v>
      </c>
    </row>
    <row r="112" spans="1:2" x14ac:dyDescent="0.4">
      <c r="A112" t="s">
        <v>53</v>
      </c>
      <c r="B112" s="9">
        <f>B108*B110/(1-(1+B110)^-B109)</f>
        <v>108434.17786504004</v>
      </c>
    </row>
    <row r="113" spans="1:7" x14ac:dyDescent="0.4">
      <c r="A113" t="s">
        <v>54</v>
      </c>
      <c r="B113" s="9">
        <f>B112*B109-B108</f>
        <v>84341.778650400462</v>
      </c>
      <c r="F113" s="13" t="s">
        <v>36</v>
      </c>
      <c r="G113" s="26">
        <f>IRR(G115:G125)</f>
        <v>1.5000000000001679E-2</v>
      </c>
    </row>
    <row r="114" spans="1:7" x14ac:dyDescent="0.4">
      <c r="A114" s="13"/>
      <c r="B114" s="13"/>
      <c r="C114" s="13"/>
      <c r="D114" s="13"/>
      <c r="E114" s="14" t="s">
        <v>58</v>
      </c>
    </row>
    <row r="115" spans="1:7" x14ac:dyDescent="0.4">
      <c r="A115" s="14" t="s">
        <v>55</v>
      </c>
      <c r="B115" s="14" t="s">
        <v>56</v>
      </c>
      <c r="C115" s="14" t="s">
        <v>57</v>
      </c>
      <c r="D115" s="14" t="s">
        <v>8</v>
      </c>
      <c r="E115" s="25">
        <f>B108</f>
        <v>1000000</v>
      </c>
      <c r="G115" s="9">
        <f>B108</f>
        <v>1000000</v>
      </c>
    </row>
    <row r="116" spans="1:7" x14ac:dyDescent="0.4">
      <c r="A116" s="13">
        <v>1</v>
      </c>
      <c r="B116" s="25">
        <f>$B$112</f>
        <v>108434.17786504004</v>
      </c>
      <c r="C116" s="25">
        <f>$B$110*E115</f>
        <v>15000</v>
      </c>
      <c r="D116" s="25">
        <f>B116-C116</f>
        <v>93434.177865040037</v>
      </c>
      <c r="E116" s="25">
        <f>E115-D116</f>
        <v>906565.82213495998</v>
      </c>
      <c r="G116" s="9">
        <f>-B116</f>
        <v>-108434.17786504004</v>
      </c>
    </row>
    <row r="117" spans="1:7" x14ac:dyDescent="0.4">
      <c r="A117" s="13">
        <v>2</v>
      </c>
      <c r="B117" s="25">
        <f t="shared" ref="B117:B125" si="6">$B$112</f>
        <v>108434.17786504004</v>
      </c>
      <c r="C117" s="25">
        <f t="shared" ref="C117:C125" si="7">$B$110*E116</f>
        <v>13598.487332024399</v>
      </c>
      <c r="D117" s="25">
        <f t="shared" ref="D117:D125" si="8">B117-C117</f>
        <v>94835.690533015644</v>
      </c>
      <c r="E117" s="25">
        <f t="shared" ref="E117:E125" si="9">E116-D117</f>
        <v>811730.13160194433</v>
      </c>
      <c r="G117" s="9">
        <f t="shared" ref="G117:G125" si="10">-B117</f>
        <v>-108434.17786504004</v>
      </c>
    </row>
    <row r="118" spans="1:7" x14ac:dyDescent="0.4">
      <c r="A118" s="13">
        <v>3</v>
      </c>
      <c r="B118" s="25">
        <f t="shared" si="6"/>
        <v>108434.17786504004</v>
      </c>
      <c r="C118" s="25">
        <f t="shared" si="7"/>
        <v>12175.951974029165</v>
      </c>
      <c r="D118" s="25">
        <f t="shared" si="8"/>
        <v>96258.225891010865</v>
      </c>
      <c r="E118" s="25">
        <f t="shared" si="9"/>
        <v>715471.9057109335</v>
      </c>
      <c r="G118" s="9">
        <f t="shared" si="10"/>
        <v>-108434.17786504004</v>
      </c>
    </row>
    <row r="119" spans="1:7" x14ac:dyDescent="0.4">
      <c r="A119" s="13">
        <v>4</v>
      </c>
      <c r="B119" s="25">
        <f t="shared" si="6"/>
        <v>108434.17786504004</v>
      </c>
      <c r="C119" s="25">
        <f t="shared" si="7"/>
        <v>10732.078585664001</v>
      </c>
      <c r="D119" s="25">
        <f t="shared" si="8"/>
        <v>97702.099279376038</v>
      </c>
      <c r="E119" s="25">
        <f t="shared" si="9"/>
        <v>617769.80643155752</v>
      </c>
      <c r="G119" s="9">
        <f t="shared" si="10"/>
        <v>-108434.17786504004</v>
      </c>
    </row>
    <row r="120" spans="1:7" x14ac:dyDescent="0.4">
      <c r="A120" s="13">
        <v>5</v>
      </c>
      <c r="B120" s="25">
        <f t="shared" si="6"/>
        <v>108434.17786504004</v>
      </c>
      <c r="C120" s="25">
        <f t="shared" si="7"/>
        <v>9266.5470964733631</v>
      </c>
      <c r="D120" s="25">
        <f t="shared" si="8"/>
        <v>99167.630768566669</v>
      </c>
      <c r="E120" s="25">
        <f t="shared" si="9"/>
        <v>518602.17566299083</v>
      </c>
      <c r="G120" s="9">
        <f t="shared" si="10"/>
        <v>-108434.17786504004</v>
      </c>
    </row>
    <row r="121" spans="1:7" x14ac:dyDescent="0.4">
      <c r="A121" s="13">
        <v>6</v>
      </c>
      <c r="B121" s="25">
        <f t="shared" si="6"/>
        <v>108434.17786504004</v>
      </c>
      <c r="C121" s="25">
        <f t="shared" si="7"/>
        <v>7779.0326349448624</v>
      </c>
      <c r="D121" s="25">
        <f t="shared" si="8"/>
        <v>100655.14523009518</v>
      </c>
      <c r="E121" s="25">
        <f t="shared" si="9"/>
        <v>417947.03043289564</v>
      </c>
      <c r="G121" s="9">
        <f t="shared" si="10"/>
        <v>-108434.17786504004</v>
      </c>
    </row>
    <row r="122" spans="1:7" x14ac:dyDescent="0.4">
      <c r="A122" s="13">
        <v>7</v>
      </c>
      <c r="B122" s="25">
        <f t="shared" si="6"/>
        <v>108434.17786504004</v>
      </c>
      <c r="C122" s="25">
        <f t="shared" si="7"/>
        <v>6269.2054564934342</v>
      </c>
      <c r="D122" s="25">
        <f t="shared" si="8"/>
        <v>102164.9724085466</v>
      </c>
      <c r="E122" s="25">
        <f t="shared" si="9"/>
        <v>315782.05802434904</v>
      </c>
      <c r="G122" s="9">
        <f t="shared" si="10"/>
        <v>-108434.17786504004</v>
      </c>
    </row>
    <row r="123" spans="1:7" x14ac:dyDescent="0.4">
      <c r="A123" s="13">
        <v>8</v>
      </c>
      <c r="B123" s="25">
        <f t="shared" si="6"/>
        <v>108434.17786504004</v>
      </c>
      <c r="C123" s="25">
        <f t="shared" si="7"/>
        <v>4736.7308703652352</v>
      </c>
      <c r="D123" s="25">
        <f t="shared" si="8"/>
        <v>103697.4469946748</v>
      </c>
      <c r="E123" s="25">
        <f t="shared" si="9"/>
        <v>212084.61102967424</v>
      </c>
      <c r="G123" s="9">
        <f t="shared" si="10"/>
        <v>-108434.17786504004</v>
      </c>
    </row>
    <row r="124" spans="1:7" x14ac:dyDescent="0.4">
      <c r="A124" s="13">
        <v>9</v>
      </c>
      <c r="B124" s="25">
        <f t="shared" si="6"/>
        <v>108434.17786504004</v>
      </c>
      <c r="C124" s="25">
        <f t="shared" si="7"/>
        <v>3181.2691654451137</v>
      </c>
      <c r="D124" s="25">
        <f t="shared" si="8"/>
        <v>105252.90869959492</v>
      </c>
      <c r="E124" s="25">
        <f t="shared" si="9"/>
        <v>106831.70233007932</v>
      </c>
      <c r="G124" s="9">
        <f t="shared" si="10"/>
        <v>-108434.17786504004</v>
      </c>
    </row>
    <row r="125" spans="1:7" x14ac:dyDescent="0.4">
      <c r="A125" s="13">
        <v>10</v>
      </c>
      <c r="B125" s="25">
        <f t="shared" si="6"/>
        <v>108434.17786504004</v>
      </c>
      <c r="C125" s="25">
        <f t="shared" si="7"/>
        <v>1602.4755349511897</v>
      </c>
      <c r="D125" s="25">
        <f t="shared" si="8"/>
        <v>106831.70233008885</v>
      </c>
      <c r="E125" s="25">
        <f t="shared" si="9"/>
        <v>-9.5315044745802879E-9</v>
      </c>
      <c r="G125" s="9">
        <f t="shared" si="10"/>
        <v>-108434.17786504004</v>
      </c>
    </row>
    <row r="127" spans="1:7" x14ac:dyDescent="0.4">
      <c r="A127" s="13" t="s">
        <v>28</v>
      </c>
      <c r="B127" s="25">
        <f>SUM(B116:B125)</f>
        <v>1084341.7786504005</v>
      </c>
      <c r="C127" s="25">
        <f>SUM(C116:C125)</f>
        <v>84341.77865039077</v>
      </c>
      <c r="D127" s="25">
        <f>SUM(D116:D125)</f>
        <v>1000000.0000000094</v>
      </c>
    </row>
    <row r="130" spans="1:13" x14ac:dyDescent="0.4">
      <c r="A130" s="8" t="s">
        <v>60</v>
      </c>
    </row>
    <row r="131" spans="1:13" x14ac:dyDescent="0.4">
      <c r="A131" s="8" t="s">
        <v>59</v>
      </c>
    </row>
    <row r="132" spans="1:13" x14ac:dyDescent="0.4">
      <c r="A132" s="8" t="s">
        <v>51</v>
      </c>
    </row>
    <row r="134" spans="1:13" x14ac:dyDescent="0.4">
      <c r="A134" t="s">
        <v>8</v>
      </c>
      <c r="B134" s="9">
        <v>200000</v>
      </c>
    </row>
    <row r="135" spans="1:13" x14ac:dyDescent="0.4">
      <c r="A135" t="s">
        <v>24</v>
      </c>
      <c r="B135">
        <v>15</v>
      </c>
    </row>
    <row r="136" spans="1:13" x14ac:dyDescent="0.4">
      <c r="A136" t="s">
        <v>15</v>
      </c>
      <c r="B136" s="1">
        <v>3.1E-2</v>
      </c>
      <c r="C136" s="12" t="s">
        <v>61</v>
      </c>
    </row>
    <row r="138" spans="1:13" x14ac:dyDescent="0.4">
      <c r="A138" t="s">
        <v>62</v>
      </c>
      <c r="B138">
        <f>B135*12</f>
        <v>180</v>
      </c>
    </row>
    <row r="139" spans="1:13" x14ac:dyDescent="0.4">
      <c r="A139" t="s">
        <v>63</v>
      </c>
      <c r="B139" s="6">
        <f>B136/12</f>
        <v>2.5833333333333333E-3</v>
      </c>
    </row>
    <row r="141" spans="1:13" x14ac:dyDescent="0.4">
      <c r="A141" t="s">
        <v>64</v>
      </c>
      <c r="B141" s="27">
        <f>B134*B139/(1-(1+B139)^-B138)</f>
        <v>1390.8025257802919</v>
      </c>
      <c r="G141" t="s">
        <v>66</v>
      </c>
    </row>
    <row r="142" spans="1:13" x14ac:dyDescent="0.4">
      <c r="A142" t="s">
        <v>54</v>
      </c>
      <c r="B142" s="27">
        <f>B138*B141-B134</f>
        <v>50344.454640452546</v>
      </c>
      <c r="G142" s="13" t="s">
        <v>36</v>
      </c>
      <c r="H142" s="29">
        <v>3.1444273299776018E-2</v>
      </c>
      <c r="J142" s="4">
        <f>(1+IRR(H145:H325))^12-1</f>
        <v>3.1444273306234116E-2</v>
      </c>
      <c r="K142" s="5">
        <f>XIRR(H145:H325,J145:J325)</f>
        <v>3.1412646174430847E-2</v>
      </c>
      <c r="M142" s="11">
        <f>SUM(I145:I325)</f>
        <v>-8.7232184569074889E-6</v>
      </c>
    </row>
    <row r="144" spans="1:13" x14ac:dyDescent="0.4">
      <c r="A144" s="13"/>
      <c r="B144" s="13"/>
      <c r="C144" s="13"/>
      <c r="D144" s="13"/>
      <c r="E144" s="14" t="s">
        <v>58</v>
      </c>
      <c r="G144" t="s">
        <v>67</v>
      </c>
      <c r="H144" t="s">
        <v>21</v>
      </c>
      <c r="I144" t="s">
        <v>22</v>
      </c>
    </row>
    <row r="145" spans="1:10" x14ac:dyDescent="0.4">
      <c r="A145" s="14" t="s">
        <v>65</v>
      </c>
      <c r="B145" s="14" t="s">
        <v>56</v>
      </c>
      <c r="C145" s="14" t="s">
        <v>57</v>
      </c>
      <c r="D145" s="14" t="s">
        <v>8</v>
      </c>
      <c r="E145" s="25">
        <f>B134</f>
        <v>200000</v>
      </c>
      <c r="G145">
        <v>0</v>
      </c>
      <c r="H145" s="9">
        <f>B134</f>
        <v>200000</v>
      </c>
      <c r="I145" s="11">
        <f>H145/(1+$H$142)^G145</f>
        <v>200000</v>
      </c>
      <c r="J145" s="7">
        <v>45727</v>
      </c>
    </row>
    <row r="146" spans="1:10" x14ac:dyDescent="0.4">
      <c r="A146" s="13">
        <v>1</v>
      </c>
      <c r="B146" s="28">
        <f>$B$141</f>
        <v>1390.8025257802919</v>
      </c>
      <c r="C146" s="28">
        <f>E145*$B$139</f>
        <v>516.66666666666663</v>
      </c>
      <c r="D146" s="28">
        <f>B146-C146</f>
        <v>874.13585911362532</v>
      </c>
      <c r="E146" s="25">
        <f>E145-D146</f>
        <v>199125.86414088638</v>
      </c>
      <c r="G146">
        <f>G145+1/12</f>
        <v>8.3333333333333329E-2</v>
      </c>
      <c r="H146" s="11">
        <f>-B146</f>
        <v>-1390.8025257802919</v>
      </c>
      <c r="I146" s="11">
        <f t="shared" ref="I146:I209" si="11">H146/(1+$H$142)^G146</f>
        <v>-1387.2188770153948</v>
      </c>
      <c r="J146" s="7">
        <v>45758</v>
      </c>
    </row>
    <row r="147" spans="1:10" x14ac:dyDescent="0.4">
      <c r="A147" s="13">
        <v>2</v>
      </c>
      <c r="B147" s="28">
        <f t="shared" ref="B147:B210" si="12">$B$141</f>
        <v>1390.8025257802919</v>
      </c>
      <c r="C147" s="28">
        <f t="shared" ref="C147:C210" si="13">E146*$B$139</f>
        <v>514.40848236395652</v>
      </c>
      <c r="D147" s="28">
        <f t="shared" ref="D147:D210" si="14">B147-C147</f>
        <v>876.39404341633542</v>
      </c>
      <c r="E147" s="25">
        <f t="shared" ref="E147:E210" si="15">E146-D147</f>
        <v>198249.47009747004</v>
      </c>
      <c r="G147">
        <f t="shared" ref="G147:G210" si="16">G146+1/12</f>
        <v>0.16666666666666666</v>
      </c>
      <c r="H147" s="11">
        <f t="shared" ref="H147:H210" si="17">-B147</f>
        <v>-1390.8025257802919</v>
      </c>
      <c r="I147" s="11">
        <f t="shared" si="11"/>
        <v>-1383.6444621555504</v>
      </c>
      <c r="J147" s="7">
        <v>45788</v>
      </c>
    </row>
    <row r="148" spans="1:10" x14ac:dyDescent="0.4">
      <c r="A148" s="13">
        <v>3</v>
      </c>
      <c r="B148" s="28">
        <f t="shared" si="12"/>
        <v>1390.8025257802919</v>
      </c>
      <c r="C148" s="28">
        <f t="shared" si="13"/>
        <v>512.14446441846428</v>
      </c>
      <c r="D148" s="28">
        <f t="shared" si="14"/>
        <v>878.65806136182766</v>
      </c>
      <c r="E148" s="25">
        <f t="shared" si="15"/>
        <v>197370.81203610823</v>
      </c>
      <c r="G148">
        <f t="shared" si="16"/>
        <v>0.25</v>
      </c>
      <c r="H148" s="11">
        <f t="shared" si="17"/>
        <v>-1390.8025257802919</v>
      </c>
      <c r="I148" s="11">
        <f t="shared" si="11"/>
        <v>-1380.0792574079687</v>
      </c>
      <c r="J148" s="7">
        <v>45819</v>
      </c>
    </row>
    <row r="149" spans="1:10" x14ac:dyDescent="0.4">
      <c r="A149" s="13">
        <v>4</v>
      </c>
      <c r="B149" s="28">
        <f t="shared" si="12"/>
        <v>1390.8025257802919</v>
      </c>
      <c r="C149" s="28">
        <f t="shared" si="13"/>
        <v>509.87459775994625</v>
      </c>
      <c r="D149" s="28">
        <f t="shared" si="14"/>
        <v>880.92792802034569</v>
      </c>
      <c r="E149" s="25">
        <f t="shared" si="15"/>
        <v>196489.88410808789</v>
      </c>
      <c r="G149">
        <f t="shared" si="16"/>
        <v>0.33333333333333331</v>
      </c>
      <c r="H149" s="11">
        <f t="shared" si="17"/>
        <v>-1390.8025257802919</v>
      </c>
      <c r="I149" s="11">
        <f t="shared" si="11"/>
        <v>-1376.5232390411661</v>
      </c>
      <c r="J149" s="7">
        <v>45849</v>
      </c>
    </row>
    <row r="150" spans="1:10" x14ac:dyDescent="0.4">
      <c r="A150" s="13">
        <v>5</v>
      </c>
      <c r="B150" s="28">
        <f t="shared" si="12"/>
        <v>1390.8025257802919</v>
      </c>
      <c r="C150" s="28">
        <f t="shared" si="13"/>
        <v>507.59886727922702</v>
      </c>
      <c r="D150" s="28">
        <f t="shared" si="14"/>
        <v>883.20365850106487</v>
      </c>
      <c r="E150" s="25">
        <f t="shared" si="15"/>
        <v>195606.68044958683</v>
      </c>
      <c r="G150">
        <f t="shared" si="16"/>
        <v>0.41666666666666663</v>
      </c>
      <c r="H150" s="11">
        <f t="shared" si="17"/>
        <v>-1390.8025257802919</v>
      </c>
      <c r="I150" s="11">
        <f t="shared" si="11"/>
        <v>-1372.9763833848071</v>
      </c>
      <c r="J150" s="7">
        <v>45880</v>
      </c>
    </row>
    <row r="151" spans="1:10" x14ac:dyDescent="0.4">
      <c r="A151" s="13">
        <v>6</v>
      </c>
      <c r="B151" s="28">
        <f t="shared" si="12"/>
        <v>1390.8025257802919</v>
      </c>
      <c r="C151" s="28">
        <f t="shared" si="13"/>
        <v>505.31725782809929</v>
      </c>
      <c r="D151" s="28">
        <f t="shared" si="14"/>
        <v>885.48526795219266</v>
      </c>
      <c r="E151" s="25">
        <f t="shared" si="15"/>
        <v>194721.19518163463</v>
      </c>
      <c r="G151">
        <f t="shared" si="16"/>
        <v>0.49999999999999994</v>
      </c>
      <c r="H151" s="11">
        <f t="shared" si="17"/>
        <v>-1390.8025257802919</v>
      </c>
      <c r="I151" s="11">
        <f t="shared" si="11"/>
        <v>-1369.4386668295474</v>
      </c>
      <c r="J151" s="7">
        <v>45911</v>
      </c>
    </row>
    <row r="152" spans="1:10" x14ac:dyDescent="0.4">
      <c r="A152" s="13">
        <v>7</v>
      </c>
      <c r="B152" s="28">
        <f t="shared" si="12"/>
        <v>1390.8025257802919</v>
      </c>
      <c r="C152" s="28">
        <f t="shared" si="13"/>
        <v>503.02975421922281</v>
      </c>
      <c r="D152" s="28">
        <f t="shared" si="14"/>
        <v>887.77277156106913</v>
      </c>
      <c r="E152" s="25">
        <f t="shared" si="15"/>
        <v>193833.42241007354</v>
      </c>
      <c r="G152">
        <f t="shared" si="16"/>
        <v>0.58333333333333326</v>
      </c>
      <c r="H152" s="11">
        <f t="shared" si="17"/>
        <v>-1390.8025257802919</v>
      </c>
      <c r="I152" s="11">
        <f t="shared" si="11"/>
        <v>-1365.9100658268765</v>
      </c>
      <c r="J152" s="7">
        <v>45941</v>
      </c>
    </row>
    <row r="153" spans="1:10" x14ac:dyDescent="0.4">
      <c r="A153" s="13">
        <v>8</v>
      </c>
      <c r="B153" s="28">
        <f t="shared" si="12"/>
        <v>1390.8025257802919</v>
      </c>
      <c r="C153" s="28">
        <f t="shared" si="13"/>
        <v>500.73634122602334</v>
      </c>
      <c r="D153" s="28">
        <f t="shared" si="14"/>
        <v>890.0661845542686</v>
      </c>
      <c r="E153" s="25">
        <f t="shared" si="15"/>
        <v>192943.35622551927</v>
      </c>
      <c r="G153">
        <f t="shared" si="16"/>
        <v>0.66666666666666663</v>
      </c>
      <c r="H153" s="11">
        <f t="shared" si="17"/>
        <v>-1390.8025257802919</v>
      </c>
      <c r="I153" s="11">
        <f t="shared" si="11"/>
        <v>-1362.3905568889595</v>
      </c>
      <c r="J153" s="7">
        <v>45972</v>
      </c>
    </row>
    <row r="154" spans="1:10" x14ac:dyDescent="0.4">
      <c r="A154" s="13">
        <v>9</v>
      </c>
      <c r="B154" s="28">
        <f t="shared" si="12"/>
        <v>1390.8025257802919</v>
      </c>
      <c r="C154" s="28">
        <f t="shared" si="13"/>
        <v>498.43700358259144</v>
      </c>
      <c r="D154" s="28">
        <f t="shared" si="14"/>
        <v>892.36552219770056</v>
      </c>
      <c r="E154" s="25">
        <f t="shared" si="15"/>
        <v>192050.99070332156</v>
      </c>
      <c r="G154">
        <f t="shared" si="16"/>
        <v>0.75</v>
      </c>
      <c r="H154" s="11">
        <f t="shared" si="17"/>
        <v>-1390.8025257802919</v>
      </c>
      <c r="I154" s="11">
        <f t="shared" si="11"/>
        <v>-1358.8801165884838</v>
      </c>
      <c r="J154" s="7">
        <v>46002</v>
      </c>
    </row>
    <row r="155" spans="1:10" x14ac:dyDescent="0.4">
      <c r="A155" s="13">
        <v>10</v>
      </c>
      <c r="B155" s="28">
        <f t="shared" si="12"/>
        <v>1390.8025257802919</v>
      </c>
      <c r="C155" s="28">
        <f t="shared" si="13"/>
        <v>496.13172598358068</v>
      </c>
      <c r="D155" s="28">
        <f t="shared" si="14"/>
        <v>894.67079979671121</v>
      </c>
      <c r="E155" s="25">
        <f t="shared" si="15"/>
        <v>191156.31990352485</v>
      </c>
      <c r="G155">
        <f t="shared" si="16"/>
        <v>0.83333333333333337</v>
      </c>
      <c r="H155" s="11">
        <f t="shared" si="17"/>
        <v>-1390.8025257802919</v>
      </c>
      <c r="I155" s="11">
        <f t="shared" si="11"/>
        <v>-1355.3787215585003</v>
      </c>
      <c r="J155" s="7">
        <v>46033</v>
      </c>
    </row>
    <row r="156" spans="1:10" x14ac:dyDescent="0.4">
      <c r="A156" s="13">
        <v>11</v>
      </c>
      <c r="B156" s="28">
        <f t="shared" si="12"/>
        <v>1390.8025257802919</v>
      </c>
      <c r="C156" s="28">
        <f t="shared" si="13"/>
        <v>493.82049308410586</v>
      </c>
      <c r="D156" s="28">
        <f t="shared" si="14"/>
        <v>896.98203269618602</v>
      </c>
      <c r="E156" s="25">
        <f t="shared" si="15"/>
        <v>190259.33787082866</v>
      </c>
      <c r="G156">
        <f t="shared" si="16"/>
        <v>0.91666666666666674</v>
      </c>
      <c r="H156" s="11">
        <f t="shared" si="17"/>
        <v>-1390.8025257802919</v>
      </c>
      <c r="I156" s="11">
        <f t="shared" si="11"/>
        <v>-1351.8863484922695</v>
      </c>
      <c r="J156" s="7">
        <v>46064</v>
      </c>
    </row>
    <row r="157" spans="1:10" x14ac:dyDescent="0.4">
      <c r="A157" s="13">
        <v>12</v>
      </c>
      <c r="B157" s="28">
        <f t="shared" si="12"/>
        <v>1390.8025257802919</v>
      </c>
      <c r="C157" s="28">
        <f t="shared" si="13"/>
        <v>491.50328949964069</v>
      </c>
      <c r="D157" s="28">
        <f t="shared" si="14"/>
        <v>899.29923628065126</v>
      </c>
      <c r="E157" s="25">
        <f t="shared" si="15"/>
        <v>189360.03863454802</v>
      </c>
      <c r="G157">
        <f t="shared" si="16"/>
        <v>1</v>
      </c>
      <c r="H157" s="11">
        <f t="shared" si="17"/>
        <v>-1390.8025257802919</v>
      </c>
      <c r="I157" s="11">
        <f t="shared" si="11"/>
        <v>-1348.4029741431054</v>
      </c>
      <c r="J157" s="7">
        <v>46092</v>
      </c>
    </row>
    <row r="158" spans="1:10" x14ac:dyDescent="0.4">
      <c r="A158" s="13">
        <v>13</v>
      </c>
      <c r="B158" s="28">
        <f t="shared" si="12"/>
        <v>1390.8025257802919</v>
      </c>
      <c r="C158" s="28">
        <f t="shared" si="13"/>
        <v>489.18009980591575</v>
      </c>
      <c r="D158" s="28">
        <f t="shared" si="14"/>
        <v>901.62242597437626</v>
      </c>
      <c r="E158" s="25">
        <f t="shared" si="15"/>
        <v>188458.41620857365</v>
      </c>
      <c r="G158">
        <f t="shared" si="16"/>
        <v>1.0833333333333333</v>
      </c>
      <c r="H158" s="11">
        <f t="shared" si="17"/>
        <v>-1390.8025257802919</v>
      </c>
      <c r="I158" s="11">
        <f t="shared" si="11"/>
        <v>-1344.9285753242218</v>
      </c>
      <c r="J158" s="7">
        <v>46123</v>
      </c>
    </row>
    <row r="159" spans="1:10" x14ac:dyDescent="0.4">
      <c r="A159" s="13">
        <v>14</v>
      </c>
      <c r="B159" s="28">
        <f t="shared" si="12"/>
        <v>1390.8025257802919</v>
      </c>
      <c r="C159" s="28">
        <f t="shared" si="13"/>
        <v>486.85090853881525</v>
      </c>
      <c r="D159" s="28">
        <f t="shared" si="14"/>
        <v>903.9516172414767</v>
      </c>
      <c r="E159" s="25">
        <f t="shared" si="15"/>
        <v>187554.46459133216</v>
      </c>
      <c r="G159">
        <f t="shared" si="16"/>
        <v>1.1666666666666665</v>
      </c>
      <c r="H159" s="11">
        <f t="shared" si="17"/>
        <v>-1390.8025257802919</v>
      </c>
      <c r="I159" s="11">
        <f t="shared" si="11"/>
        <v>-1341.4631289085767</v>
      </c>
      <c r="J159" s="7">
        <v>46153</v>
      </c>
    </row>
    <row r="160" spans="1:10" x14ac:dyDescent="0.4">
      <c r="A160" s="13">
        <v>15</v>
      </c>
      <c r="B160" s="28">
        <f t="shared" si="12"/>
        <v>1390.8025257802919</v>
      </c>
      <c r="C160" s="28">
        <f t="shared" si="13"/>
        <v>484.51570019427476</v>
      </c>
      <c r="D160" s="28">
        <f t="shared" si="14"/>
        <v>906.28682558601713</v>
      </c>
      <c r="E160" s="25">
        <f t="shared" si="15"/>
        <v>186648.17776574614</v>
      </c>
      <c r="G160">
        <f t="shared" si="16"/>
        <v>1.2499999999999998</v>
      </c>
      <c r="H160" s="11">
        <f t="shared" si="17"/>
        <v>-1390.8025257802919</v>
      </c>
      <c r="I160" s="11">
        <f t="shared" si="11"/>
        <v>-1338.0066118287193</v>
      </c>
      <c r="J160" s="7">
        <v>46184</v>
      </c>
    </row>
    <row r="161" spans="1:10" x14ac:dyDescent="0.4">
      <c r="A161" s="13">
        <v>16</v>
      </c>
      <c r="B161" s="28">
        <f t="shared" si="12"/>
        <v>1390.8025257802919</v>
      </c>
      <c r="C161" s="28">
        <f t="shared" si="13"/>
        <v>482.17445922817751</v>
      </c>
      <c r="D161" s="28">
        <f t="shared" si="14"/>
        <v>908.62806655211443</v>
      </c>
      <c r="E161" s="25">
        <f t="shared" si="15"/>
        <v>185739.54969919403</v>
      </c>
      <c r="G161">
        <f t="shared" si="16"/>
        <v>1.333333333333333</v>
      </c>
      <c r="H161" s="11">
        <f t="shared" si="17"/>
        <v>-1390.8025257802919</v>
      </c>
      <c r="I161" s="11">
        <f t="shared" si="11"/>
        <v>-1334.5590010766366</v>
      </c>
      <c r="J161" s="7">
        <v>46214</v>
      </c>
    </row>
    <row r="162" spans="1:10" x14ac:dyDescent="0.4">
      <c r="A162" s="13">
        <v>17</v>
      </c>
      <c r="B162" s="28">
        <f t="shared" si="12"/>
        <v>1390.8025257802919</v>
      </c>
      <c r="C162" s="28">
        <f t="shared" si="13"/>
        <v>479.82717005625125</v>
      </c>
      <c r="D162" s="28">
        <f t="shared" si="14"/>
        <v>910.9753557240407</v>
      </c>
      <c r="E162" s="25">
        <f t="shared" si="15"/>
        <v>184828.57434346998</v>
      </c>
      <c r="G162">
        <f t="shared" si="16"/>
        <v>1.4166666666666663</v>
      </c>
      <c r="H162" s="11">
        <f t="shared" si="17"/>
        <v>-1390.8025257802919</v>
      </c>
      <c r="I162" s="11">
        <f t="shared" si="11"/>
        <v>-1331.1202737035987</v>
      </c>
      <c r="J162" s="7">
        <v>46245</v>
      </c>
    </row>
    <row r="163" spans="1:10" x14ac:dyDescent="0.4">
      <c r="A163" s="13">
        <v>18</v>
      </c>
      <c r="B163" s="28">
        <f t="shared" si="12"/>
        <v>1390.8025257802919</v>
      </c>
      <c r="C163" s="28">
        <f t="shared" si="13"/>
        <v>477.47381705396413</v>
      </c>
      <c r="D163" s="28">
        <f t="shared" si="14"/>
        <v>913.32870872632782</v>
      </c>
      <c r="E163" s="25">
        <f t="shared" si="15"/>
        <v>183915.24563474365</v>
      </c>
      <c r="G163">
        <f t="shared" si="16"/>
        <v>1.4999999999999996</v>
      </c>
      <c r="H163" s="11">
        <f t="shared" si="17"/>
        <v>-1390.8025257802919</v>
      </c>
      <c r="I163" s="11">
        <f t="shared" si="11"/>
        <v>-1327.6904068200085</v>
      </c>
      <c r="J163" s="7">
        <v>46276</v>
      </c>
    </row>
    <row r="164" spans="1:10" x14ac:dyDescent="0.4">
      <c r="A164" s="13">
        <v>19</v>
      </c>
      <c r="B164" s="28">
        <f t="shared" si="12"/>
        <v>1390.8025257802919</v>
      </c>
      <c r="C164" s="28">
        <f t="shared" si="13"/>
        <v>475.1143845564211</v>
      </c>
      <c r="D164" s="28">
        <f t="shared" si="14"/>
        <v>915.68814122387084</v>
      </c>
      <c r="E164" s="25">
        <f t="shared" si="15"/>
        <v>182999.55749351979</v>
      </c>
      <c r="G164">
        <f t="shared" si="16"/>
        <v>1.5833333333333328</v>
      </c>
      <c r="H164" s="11">
        <f t="shared" si="17"/>
        <v>-1390.8025257802919</v>
      </c>
      <c r="I164" s="11">
        <f t="shared" si="11"/>
        <v>-1324.2693775952473</v>
      </c>
      <c r="J164" s="7">
        <v>46306</v>
      </c>
    </row>
    <row r="165" spans="1:10" x14ac:dyDescent="0.4">
      <c r="A165" s="13">
        <v>20</v>
      </c>
      <c r="B165" s="28">
        <f t="shared" si="12"/>
        <v>1390.8025257802919</v>
      </c>
      <c r="C165" s="28">
        <f t="shared" si="13"/>
        <v>472.74885685825944</v>
      </c>
      <c r="D165" s="28">
        <f t="shared" si="14"/>
        <v>918.05366892203256</v>
      </c>
      <c r="E165" s="25">
        <f t="shared" si="15"/>
        <v>182081.50382459775</v>
      </c>
      <c r="G165">
        <f t="shared" si="16"/>
        <v>1.6666666666666661</v>
      </c>
      <c r="H165" s="11">
        <f t="shared" si="17"/>
        <v>-1390.8025257802919</v>
      </c>
      <c r="I165" s="11">
        <f t="shared" si="11"/>
        <v>-1320.8571632575231</v>
      </c>
      <c r="J165" s="7">
        <v>46337</v>
      </c>
    </row>
    <row r="166" spans="1:10" x14ac:dyDescent="0.4">
      <c r="A166" s="13">
        <v>21</v>
      </c>
      <c r="B166" s="28">
        <f t="shared" si="12"/>
        <v>1390.8025257802919</v>
      </c>
      <c r="C166" s="28">
        <f t="shared" si="13"/>
        <v>470.37721821354415</v>
      </c>
      <c r="D166" s="28">
        <f t="shared" si="14"/>
        <v>920.42530756674773</v>
      </c>
      <c r="E166" s="25">
        <f t="shared" si="15"/>
        <v>181161.07851703101</v>
      </c>
      <c r="G166">
        <f t="shared" si="16"/>
        <v>1.7499999999999993</v>
      </c>
      <c r="H166" s="11">
        <f t="shared" si="17"/>
        <v>-1390.8025257802919</v>
      </c>
      <c r="I166" s="11">
        <f t="shared" si="11"/>
        <v>-1317.4537410937205</v>
      </c>
      <c r="J166" s="7">
        <v>46367</v>
      </c>
    </row>
    <row r="167" spans="1:10" x14ac:dyDescent="0.4">
      <c r="A167" s="13">
        <v>22</v>
      </c>
      <c r="B167" s="28">
        <f t="shared" si="12"/>
        <v>1390.8025257802919</v>
      </c>
      <c r="C167" s="28">
        <f t="shared" si="13"/>
        <v>467.99945283566342</v>
      </c>
      <c r="D167" s="28">
        <f t="shared" si="14"/>
        <v>922.80307294462852</v>
      </c>
      <c r="E167" s="25">
        <f t="shared" si="15"/>
        <v>180238.27544408638</v>
      </c>
      <c r="G167">
        <f t="shared" si="16"/>
        <v>1.8333333333333326</v>
      </c>
      <c r="H167" s="11">
        <f t="shared" si="17"/>
        <v>-1390.8025257802919</v>
      </c>
      <c r="I167" s="11">
        <f t="shared" si="11"/>
        <v>-1314.0590884492478</v>
      </c>
      <c r="J167" s="7">
        <v>46398</v>
      </c>
    </row>
    <row r="168" spans="1:10" x14ac:dyDescent="0.4">
      <c r="A168" s="13">
        <v>23</v>
      </c>
      <c r="B168" s="28">
        <f t="shared" si="12"/>
        <v>1390.8025257802919</v>
      </c>
      <c r="C168" s="28">
        <f t="shared" si="13"/>
        <v>465.61554489722312</v>
      </c>
      <c r="D168" s="28">
        <f t="shared" si="14"/>
        <v>925.18698088306883</v>
      </c>
      <c r="E168" s="25">
        <f t="shared" si="15"/>
        <v>179313.08846320331</v>
      </c>
      <c r="G168">
        <f t="shared" si="16"/>
        <v>1.9166666666666659</v>
      </c>
      <c r="H168" s="11">
        <f t="shared" si="17"/>
        <v>-1390.8025257802919</v>
      </c>
      <c r="I168" s="11">
        <f t="shared" si="11"/>
        <v>-1310.6731827278866</v>
      </c>
      <c r="J168" s="7">
        <v>46429</v>
      </c>
    </row>
    <row r="169" spans="1:10" x14ac:dyDescent="0.4">
      <c r="A169" s="13">
        <v>24</v>
      </c>
      <c r="B169" s="28">
        <f t="shared" si="12"/>
        <v>1390.8025257802919</v>
      </c>
      <c r="C169" s="28">
        <f t="shared" si="13"/>
        <v>463.22547852994188</v>
      </c>
      <c r="D169" s="28">
        <f t="shared" si="14"/>
        <v>927.57704725035001</v>
      </c>
      <c r="E169" s="25">
        <f t="shared" si="15"/>
        <v>178385.51141595296</v>
      </c>
      <c r="G169">
        <f t="shared" si="16"/>
        <v>1.9999999999999991</v>
      </c>
      <c r="H169" s="11">
        <f t="shared" si="17"/>
        <v>-1390.8025257802919</v>
      </c>
      <c r="I169" s="11">
        <f t="shared" si="11"/>
        <v>-1307.2960013916424</v>
      </c>
      <c r="J169" s="7">
        <v>46457</v>
      </c>
    </row>
    <row r="170" spans="1:10" x14ac:dyDescent="0.4">
      <c r="A170" s="13">
        <v>25</v>
      </c>
      <c r="B170" s="28">
        <f t="shared" si="12"/>
        <v>1390.8025257802919</v>
      </c>
      <c r="C170" s="28">
        <f t="shared" si="13"/>
        <v>460.82923782454515</v>
      </c>
      <c r="D170" s="28">
        <f t="shared" si="14"/>
        <v>929.97328795574686</v>
      </c>
      <c r="E170" s="25">
        <f t="shared" si="15"/>
        <v>177455.53812799722</v>
      </c>
      <c r="G170">
        <f t="shared" si="16"/>
        <v>2.0833333333333326</v>
      </c>
      <c r="H170" s="11">
        <f t="shared" si="17"/>
        <v>-1390.8025257802919</v>
      </c>
      <c r="I170" s="11">
        <f t="shared" si="11"/>
        <v>-1303.9275219605931</v>
      </c>
      <c r="J170" s="7">
        <v>46488</v>
      </c>
    </row>
    <row r="171" spans="1:10" x14ac:dyDescent="0.4">
      <c r="A171" s="13">
        <v>26</v>
      </c>
      <c r="B171" s="28">
        <f t="shared" si="12"/>
        <v>1390.8025257802919</v>
      </c>
      <c r="C171" s="28">
        <f t="shared" si="13"/>
        <v>458.42680683065947</v>
      </c>
      <c r="D171" s="28">
        <f t="shared" si="14"/>
        <v>932.37571894963253</v>
      </c>
      <c r="E171" s="25">
        <f t="shared" si="15"/>
        <v>176523.1624090476</v>
      </c>
      <c r="G171">
        <f t="shared" si="16"/>
        <v>2.1666666666666661</v>
      </c>
      <c r="H171" s="11">
        <f t="shared" si="17"/>
        <v>-1390.8025257802919</v>
      </c>
      <c r="I171" s="11">
        <f t="shared" si="11"/>
        <v>-1300.5677220127411</v>
      </c>
      <c r="J171" s="7">
        <v>46518</v>
      </c>
    </row>
    <row r="172" spans="1:10" x14ac:dyDescent="0.4">
      <c r="A172" s="13">
        <v>27</v>
      </c>
      <c r="B172" s="28">
        <f t="shared" si="12"/>
        <v>1390.8025257802919</v>
      </c>
      <c r="C172" s="28">
        <f t="shared" si="13"/>
        <v>456.01816955670631</v>
      </c>
      <c r="D172" s="28">
        <f t="shared" si="14"/>
        <v>934.78435622358563</v>
      </c>
      <c r="E172" s="25">
        <f t="shared" si="15"/>
        <v>175588.378052824</v>
      </c>
      <c r="G172">
        <f t="shared" si="16"/>
        <v>2.2499999999999996</v>
      </c>
      <c r="H172" s="11">
        <f t="shared" si="17"/>
        <v>-1390.8025257802919</v>
      </c>
      <c r="I172" s="11">
        <f t="shared" si="11"/>
        <v>-1297.2165791838615</v>
      </c>
      <c r="J172" s="7">
        <v>46549</v>
      </c>
    </row>
    <row r="173" spans="1:10" x14ac:dyDescent="0.4">
      <c r="A173" s="13">
        <v>28</v>
      </c>
      <c r="B173" s="28">
        <f t="shared" si="12"/>
        <v>1390.8025257802919</v>
      </c>
      <c r="C173" s="28">
        <f t="shared" si="13"/>
        <v>453.60330996979536</v>
      </c>
      <c r="D173" s="28">
        <f t="shared" si="14"/>
        <v>937.19921581049653</v>
      </c>
      <c r="E173" s="25">
        <f t="shared" si="15"/>
        <v>174651.17883701352</v>
      </c>
      <c r="G173">
        <f t="shared" si="16"/>
        <v>2.333333333333333</v>
      </c>
      <c r="H173" s="11">
        <f t="shared" si="17"/>
        <v>-1390.8025257802919</v>
      </c>
      <c r="I173" s="11">
        <f t="shared" si="11"/>
        <v>-1293.8740711673565</v>
      </c>
      <c r="J173" s="7">
        <v>46579</v>
      </c>
    </row>
    <row r="174" spans="1:10" x14ac:dyDescent="0.4">
      <c r="A174" s="13">
        <v>29</v>
      </c>
      <c r="B174" s="28">
        <f t="shared" si="12"/>
        <v>1390.8025257802919</v>
      </c>
      <c r="C174" s="28">
        <f t="shared" si="13"/>
        <v>451.18221199561827</v>
      </c>
      <c r="D174" s="28">
        <f t="shared" si="14"/>
        <v>939.62031378467373</v>
      </c>
      <c r="E174" s="25">
        <f t="shared" si="15"/>
        <v>173711.55852322886</v>
      </c>
      <c r="G174">
        <f t="shared" si="16"/>
        <v>2.4166666666666665</v>
      </c>
      <c r="H174" s="11">
        <f t="shared" si="17"/>
        <v>-1390.8025257802919</v>
      </c>
      <c r="I174" s="11">
        <f t="shared" si="11"/>
        <v>-1290.5401757141037</v>
      </c>
      <c r="J174" s="7">
        <v>46610</v>
      </c>
    </row>
    <row r="175" spans="1:10" x14ac:dyDescent="0.4">
      <c r="A175" s="13">
        <v>30</v>
      </c>
      <c r="B175" s="28">
        <f t="shared" si="12"/>
        <v>1390.8025257802919</v>
      </c>
      <c r="C175" s="28">
        <f t="shared" si="13"/>
        <v>448.75485951834122</v>
      </c>
      <c r="D175" s="28">
        <f t="shared" si="14"/>
        <v>942.04766626195078</v>
      </c>
      <c r="E175" s="25">
        <f t="shared" si="15"/>
        <v>172769.5108569669</v>
      </c>
      <c r="G175">
        <f t="shared" si="16"/>
        <v>2.5</v>
      </c>
      <c r="H175" s="11">
        <f t="shared" si="17"/>
        <v>-1390.8025257802919</v>
      </c>
      <c r="I175" s="11">
        <f t="shared" si="11"/>
        <v>-1287.2148706323103</v>
      </c>
      <c r="J175" s="7">
        <v>46641</v>
      </c>
    </row>
    <row r="176" spans="1:10" x14ac:dyDescent="0.4">
      <c r="A176" s="13">
        <v>31</v>
      </c>
      <c r="B176" s="28">
        <f t="shared" si="12"/>
        <v>1390.8025257802919</v>
      </c>
      <c r="C176" s="28">
        <f t="shared" si="13"/>
        <v>446.32123638049779</v>
      </c>
      <c r="D176" s="28">
        <f t="shared" si="14"/>
        <v>944.48128939979415</v>
      </c>
      <c r="E176" s="25">
        <f t="shared" si="15"/>
        <v>171825.02956756711</v>
      </c>
      <c r="G176">
        <f t="shared" si="16"/>
        <v>2.5833333333333335</v>
      </c>
      <c r="H176" s="11">
        <f t="shared" si="17"/>
        <v>-1390.8025257802919</v>
      </c>
      <c r="I176" s="11">
        <f t="shared" si="11"/>
        <v>-1283.8981337873649</v>
      </c>
      <c r="J176" s="7">
        <v>46671</v>
      </c>
    </row>
    <row r="177" spans="1:10" x14ac:dyDescent="0.4">
      <c r="A177" s="13">
        <v>32</v>
      </c>
      <c r="B177" s="28">
        <f t="shared" si="12"/>
        <v>1390.8025257802919</v>
      </c>
      <c r="C177" s="28">
        <f t="shared" si="13"/>
        <v>443.8813263828817</v>
      </c>
      <c r="D177" s="28">
        <f t="shared" si="14"/>
        <v>946.92119939741019</v>
      </c>
      <c r="E177" s="25">
        <f t="shared" si="15"/>
        <v>170878.10836816969</v>
      </c>
      <c r="G177">
        <f t="shared" si="16"/>
        <v>2.666666666666667</v>
      </c>
      <c r="H177" s="11">
        <f t="shared" si="17"/>
        <v>-1390.8025257802919</v>
      </c>
      <c r="I177" s="11">
        <f t="shared" si="11"/>
        <v>-1280.5899431016892</v>
      </c>
      <c r="J177" s="7">
        <v>46702</v>
      </c>
    </row>
    <row r="178" spans="1:10" x14ac:dyDescent="0.4">
      <c r="A178" s="13">
        <v>33</v>
      </c>
      <c r="B178" s="28">
        <f t="shared" si="12"/>
        <v>1390.8025257802919</v>
      </c>
      <c r="C178" s="28">
        <f t="shared" si="13"/>
        <v>441.43511328443839</v>
      </c>
      <c r="D178" s="28">
        <f t="shared" si="14"/>
        <v>949.36741249585361</v>
      </c>
      <c r="E178" s="25">
        <f t="shared" si="15"/>
        <v>169928.74095567383</v>
      </c>
      <c r="G178">
        <f t="shared" si="16"/>
        <v>2.7500000000000004</v>
      </c>
      <c r="H178" s="11">
        <f t="shared" si="17"/>
        <v>-1390.8025257802919</v>
      </c>
      <c r="I178" s="11">
        <f t="shared" si="11"/>
        <v>-1277.2902765545916</v>
      </c>
      <c r="J178" s="7">
        <v>46732</v>
      </c>
    </row>
    <row r="179" spans="1:10" x14ac:dyDescent="0.4">
      <c r="A179" s="13">
        <v>34</v>
      </c>
      <c r="B179" s="28">
        <f t="shared" si="12"/>
        <v>1390.8025257802919</v>
      </c>
      <c r="C179" s="28">
        <f t="shared" si="13"/>
        <v>438.98258080215737</v>
      </c>
      <c r="D179" s="28">
        <f t="shared" si="14"/>
        <v>951.81994497813457</v>
      </c>
      <c r="E179" s="25">
        <f t="shared" si="15"/>
        <v>168976.92101069569</v>
      </c>
      <c r="G179">
        <f t="shared" si="16"/>
        <v>2.8333333333333339</v>
      </c>
      <c r="H179" s="11">
        <f t="shared" si="17"/>
        <v>-1390.8025257802919</v>
      </c>
      <c r="I179" s="11">
        <f t="shared" si="11"/>
        <v>-1273.9991121821213</v>
      </c>
      <c r="J179" s="7">
        <v>46763</v>
      </c>
    </row>
    <row r="180" spans="1:10" x14ac:dyDescent="0.4">
      <c r="A180" s="13">
        <v>35</v>
      </c>
      <c r="B180" s="28">
        <f t="shared" si="12"/>
        <v>1390.8025257802919</v>
      </c>
      <c r="C180" s="28">
        <f t="shared" si="13"/>
        <v>436.52371261096386</v>
      </c>
      <c r="D180" s="28">
        <f t="shared" si="14"/>
        <v>954.27881316932803</v>
      </c>
      <c r="E180" s="25">
        <f t="shared" si="15"/>
        <v>168022.64219752635</v>
      </c>
      <c r="G180">
        <f t="shared" si="16"/>
        <v>2.9166666666666674</v>
      </c>
      <c r="H180" s="11">
        <f t="shared" si="17"/>
        <v>-1390.8025257802919</v>
      </c>
      <c r="I180" s="11">
        <f t="shared" si="11"/>
        <v>-1270.7164280769207</v>
      </c>
      <c r="J180" s="7">
        <v>46794</v>
      </c>
    </row>
    <row r="181" spans="1:10" x14ac:dyDescent="0.4">
      <c r="A181" s="13">
        <v>36</v>
      </c>
      <c r="B181" s="28">
        <f t="shared" si="12"/>
        <v>1390.8025257802919</v>
      </c>
      <c r="C181" s="28">
        <f t="shared" si="13"/>
        <v>434.05849234360971</v>
      </c>
      <c r="D181" s="28">
        <f t="shared" si="14"/>
        <v>956.74403343668223</v>
      </c>
      <c r="E181" s="25">
        <f t="shared" si="15"/>
        <v>167065.89816408968</v>
      </c>
      <c r="G181">
        <f t="shared" si="16"/>
        <v>3.0000000000000009</v>
      </c>
      <c r="H181" s="11">
        <f t="shared" si="17"/>
        <v>-1390.8025257802919</v>
      </c>
      <c r="I181" s="11">
        <f t="shared" si="11"/>
        <v>-1267.4422023880816</v>
      </c>
      <c r="J181" s="7">
        <v>46823</v>
      </c>
    </row>
    <row r="182" spans="1:10" x14ac:dyDescent="0.4">
      <c r="A182" s="13">
        <v>37</v>
      </c>
      <c r="B182" s="28">
        <f t="shared" si="12"/>
        <v>1390.8025257802919</v>
      </c>
      <c r="C182" s="28">
        <f t="shared" si="13"/>
        <v>431.58690359056499</v>
      </c>
      <c r="D182" s="28">
        <f t="shared" si="14"/>
        <v>959.2156221897269</v>
      </c>
      <c r="E182" s="25">
        <f t="shared" si="15"/>
        <v>166106.68254189997</v>
      </c>
      <c r="G182">
        <f t="shared" si="16"/>
        <v>3.0833333333333344</v>
      </c>
      <c r="H182" s="11">
        <f t="shared" si="17"/>
        <v>-1390.8025257802919</v>
      </c>
      <c r="I182" s="11">
        <f t="shared" si="11"/>
        <v>-1264.1764133209972</v>
      </c>
      <c r="J182" s="7">
        <v>46854</v>
      </c>
    </row>
    <row r="183" spans="1:10" x14ac:dyDescent="0.4">
      <c r="A183" s="13">
        <v>38</v>
      </c>
      <c r="B183" s="28">
        <f t="shared" si="12"/>
        <v>1390.8025257802919</v>
      </c>
      <c r="C183" s="28">
        <f t="shared" si="13"/>
        <v>429.10892989990822</v>
      </c>
      <c r="D183" s="28">
        <f t="shared" si="14"/>
        <v>961.69359588038378</v>
      </c>
      <c r="E183" s="25">
        <f t="shared" si="15"/>
        <v>165144.98894601958</v>
      </c>
      <c r="G183">
        <f t="shared" si="16"/>
        <v>3.1666666666666679</v>
      </c>
      <c r="H183" s="11">
        <f t="shared" si="17"/>
        <v>-1390.8025257802919</v>
      </c>
      <c r="I183" s="11">
        <f t="shared" si="11"/>
        <v>-1260.9190391372192</v>
      </c>
      <c r="J183" s="7">
        <v>46884</v>
      </c>
    </row>
    <row r="184" spans="1:10" x14ac:dyDescent="0.4">
      <c r="A184" s="13">
        <v>39</v>
      </c>
      <c r="B184" s="28">
        <f t="shared" si="12"/>
        <v>1390.8025257802919</v>
      </c>
      <c r="C184" s="28">
        <f t="shared" si="13"/>
        <v>426.62455477721727</v>
      </c>
      <c r="D184" s="28">
        <f t="shared" si="14"/>
        <v>964.17797100307462</v>
      </c>
      <c r="E184" s="25">
        <f t="shared" si="15"/>
        <v>164180.8109750165</v>
      </c>
      <c r="G184">
        <f t="shared" si="16"/>
        <v>3.2500000000000013</v>
      </c>
      <c r="H184" s="11">
        <f t="shared" si="17"/>
        <v>-1390.8025257802919</v>
      </c>
      <c r="I184" s="11">
        <f t="shared" si="11"/>
        <v>-1257.6700581543121</v>
      </c>
      <c r="J184" s="7">
        <v>46915</v>
      </c>
    </row>
    <row r="185" spans="1:10" x14ac:dyDescent="0.4">
      <c r="A185" s="13">
        <v>40</v>
      </c>
      <c r="B185" s="28">
        <f t="shared" si="12"/>
        <v>1390.8025257802919</v>
      </c>
      <c r="C185" s="28">
        <f t="shared" si="13"/>
        <v>424.13376168545932</v>
      </c>
      <c r="D185" s="28">
        <f t="shared" si="14"/>
        <v>966.66876409483257</v>
      </c>
      <c r="E185" s="25">
        <f t="shared" si="15"/>
        <v>163214.14221092168</v>
      </c>
      <c r="G185">
        <f t="shared" si="16"/>
        <v>3.3333333333333348</v>
      </c>
      <c r="H185" s="11">
        <f t="shared" si="17"/>
        <v>-1390.8025257802919</v>
      </c>
      <c r="I185" s="11">
        <f t="shared" si="11"/>
        <v>-1254.4294487457089</v>
      </c>
      <c r="J185" s="7">
        <v>46945</v>
      </c>
    </row>
    <row r="186" spans="1:10" x14ac:dyDescent="0.4">
      <c r="A186" s="13">
        <v>41</v>
      </c>
      <c r="B186" s="28">
        <f t="shared" si="12"/>
        <v>1390.8025257802919</v>
      </c>
      <c r="C186" s="28">
        <f t="shared" si="13"/>
        <v>421.63653404488099</v>
      </c>
      <c r="D186" s="28">
        <f t="shared" si="14"/>
        <v>969.1659917354109</v>
      </c>
      <c r="E186" s="25">
        <f t="shared" si="15"/>
        <v>162244.97621918627</v>
      </c>
      <c r="G186">
        <f t="shared" si="16"/>
        <v>3.4166666666666683</v>
      </c>
      <c r="H186" s="11">
        <f t="shared" si="17"/>
        <v>-1390.8025257802919</v>
      </c>
      <c r="I186" s="11">
        <f t="shared" si="11"/>
        <v>-1251.1971893405671</v>
      </c>
      <c r="J186" s="7">
        <v>46976</v>
      </c>
    </row>
    <row r="187" spans="1:10" x14ac:dyDescent="0.4">
      <c r="A187" s="13">
        <v>42</v>
      </c>
      <c r="B187" s="28">
        <f t="shared" si="12"/>
        <v>1390.8025257802919</v>
      </c>
      <c r="C187" s="28">
        <f t="shared" si="13"/>
        <v>419.13285523289784</v>
      </c>
      <c r="D187" s="28">
        <f t="shared" si="14"/>
        <v>971.66967054739416</v>
      </c>
      <c r="E187" s="25">
        <f t="shared" si="15"/>
        <v>161273.30654863888</v>
      </c>
      <c r="G187">
        <f t="shared" si="16"/>
        <v>3.5000000000000018</v>
      </c>
      <c r="H187" s="11">
        <f t="shared" si="17"/>
        <v>-1390.8025257802919</v>
      </c>
      <c r="I187" s="11">
        <f t="shared" si="11"/>
        <v>-1247.9732584236258</v>
      </c>
      <c r="J187" s="7">
        <v>47007</v>
      </c>
    </row>
    <row r="188" spans="1:10" x14ac:dyDescent="0.4">
      <c r="A188" s="13">
        <v>43</v>
      </c>
      <c r="B188" s="28">
        <f t="shared" si="12"/>
        <v>1390.8025257802919</v>
      </c>
      <c r="C188" s="28">
        <f t="shared" si="13"/>
        <v>416.62270858398375</v>
      </c>
      <c r="D188" s="28">
        <f t="shared" si="14"/>
        <v>974.17981719630825</v>
      </c>
      <c r="E188" s="25">
        <f t="shared" si="15"/>
        <v>160299.12673144258</v>
      </c>
      <c r="G188">
        <f t="shared" si="16"/>
        <v>3.5833333333333353</v>
      </c>
      <c r="H188" s="11">
        <f t="shared" si="17"/>
        <v>-1390.8025257802919</v>
      </c>
      <c r="I188" s="11">
        <f t="shared" si="11"/>
        <v>-1244.7576345350617</v>
      </c>
      <c r="J188" s="7">
        <v>47037</v>
      </c>
    </row>
    <row r="189" spans="1:10" x14ac:dyDescent="0.4">
      <c r="A189" s="13">
        <v>44</v>
      </c>
      <c r="B189" s="28">
        <f t="shared" si="12"/>
        <v>1390.8025257802919</v>
      </c>
      <c r="C189" s="28">
        <f t="shared" si="13"/>
        <v>414.10607738955997</v>
      </c>
      <c r="D189" s="28">
        <f t="shared" si="14"/>
        <v>976.69644839073203</v>
      </c>
      <c r="E189" s="25">
        <f t="shared" si="15"/>
        <v>159322.43028305186</v>
      </c>
      <c r="G189">
        <f t="shared" si="16"/>
        <v>3.6666666666666687</v>
      </c>
      <c r="H189" s="11">
        <f t="shared" si="17"/>
        <v>-1390.8025257802919</v>
      </c>
      <c r="I189" s="11">
        <f t="shared" si="11"/>
        <v>-1241.5502962703465</v>
      </c>
      <c r="J189" s="7">
        <v>47068</v>
      </c>
    </row>
    <row r="190" spans="1:10" x14ac:dyDescent="0.4">
      <c r="A190" s="13">
        <v>45</v>
      </c>
      <c r="B190" s="28">
        <f t="shared" si="12"/>
        <v>1390.8025257802919</v>
      </c>
      <c r="C190" s="28">
        <f t="shared" si="13"/>
        <v>411.58294489788398</v>
      </c>
      <c r="D190" s="28">
        <f t="shared" si="14"/>
        <v>979.21958088240797</v>
      </c>
      <c r="E190" s="25">
        <f t="shared" si="15"/>
        <v>158343.21070216945</v>
      </c>
      <c r="G190">
        <f t="shared" si="16"/>
        <v>3.7500000000000022</v>
      </c>
      <c r="H190" s="11">
        <f t="shared" si="17"/>
        <v>-1390.8025257802919</v>
      </c>
      <c r="I190" s="11">
        <f t="shared" si="11"/>
        <v>-1238.3512222801041</v>
      </c>
      <c r="J190" s="7">
        <v>47098</v>
      </c>
    </row>
    <row r="191" spans="1:10" x14ac:dyDescent="0.4">
      <c r="A191" s="13">
        <v>46</v>
      </c>
      <c r="B191" s="28">
        <f t="shared" si="12"/>
        <v>1390.8025257802919</v>
      </c>
      <c r="C191" s="28">
        <f t="shared" si="13"/>
        <v>409.05329431393773</v>
      </c>
      <c r="D191" s="28">
        <f t="shared" si="14"/>
        <v>981.74923146635422</v>
      </c>
      <c r="E191" s="25">
        <f t="shared" si="15"/>
        <v>157361.4614707031</v>
      </c>
      <c r="G191">
        <f t="shared" si="16"/>
        <v>3.8333333333333357</v>
      </c>
      <c r="H191" s="11">
        <f t="shared" si="17"/>
        <v>-1390.8025257802919</v>
      </c>
      <c r="I191" s="11">
        <f t="shared" si="11"/>
        <v>-1235.1603912699698</v>
      </c>
      <c r="J191" s="7">
        <v>47129</v>
      </c>
    </row>
    <row r="192" spans="1:10" x14ac:dyDescent="0.4">
      <c r="A192" s="13">
        <v>47</v>
      </c>
      <c r="B192" s="28">
        <f t="shared" si="12"/>
        <v>1390.8025257802919</v>
      </c>
      <c r="C192" s="28">
        <f t="shared" si="13"/>
        <v>406.51710879931636</v>
      </c>
      <c r="D192" s="28">
        <f t="shared" si="14"/>
        <v>984.28541698097558</v>
      </c>
      <c r="E192" s="25">
        <f t="shared" si="15"/>
        <v>156377.17605372213</v>
      </c>
      <c r="G192">
        <f t="shared" si="16"/>
        <v>3.9166666666666692</v>
      </c>
      <c r="H192" s="11">
        <f t="shared" si="17"/>
        <v>-1390.8025257802919</v>
      </c>
      <c r="I192" s="11">
        <f t="shared" si="11"/>
        <v>-1231.977782000447</v>
      </c>
      <c r="J192" s="7">
        <v>47160</v>
      </c>
    </row>
    <row r="193" spans="1:10" x14ac:dyDescent="0.4">
      <c r="A193" s="13">
        <v>48</v>
      </c>
      <c r="B193" s="28">
        <f t="shared" si="12"/>
        <v>1390.8025257802919</v>
      </c>
      <c r="C193" s="28">
        <f t="shared" si="13"/>
        <v>403.97437147211548</v>
      </c>
      <c r="D193" s="28">
        <f t="shared" si="14"/>
        <v>986.82815430817641</v>
      </c>
      <c r="E193" s="25">
        <f t="shared" si="15"/>
        <v>155390.34789941396</v>
      </c>
      <c r="G193">
        <f t="shared" si="16"/>
        <v>4.0000000000000027</v>
      </c>
      <c r="H193" s="11">
        <f t="shared" si="17"/>
        <v>-1390.8025257802919</v>
      </c>
      <c r="I193" s="11">
        <f t="shared" si="11"/>
        <v>-1228.8033732867657</v>
      </c>
      <c r="J193" s="7">
        <v>47188</v>
      </c>
    </row>
    <row r="194" spans="1:10" x14ac:dyDescent="0.4">
      <c r="A194" s="13">
        <v>49</v>
      </c>
      <c r="B194" s="28">
        <f t="shared" si="12"/>
        <v>1390.8025257802919</v>
      </c>
      <c r="C194" s="28">
        <f t="shared" si="13"/>
        <v>401.42506540681939</v>
      </c>
      <c r="D194" s="28">
        <f t="shared" si="14"/>
        <v>989.37746037347256</v>
      </c>
      <c r="E194" s="25">
        <f t="shared" si="15"/>
        <v>154400.97043904048</v>
      </c>
      <c r="G194">
        <f t="shared" si="16"/>
        <v>4.0833333333333357</v>
      </c>
      <c r="H194" s="11">
        <f t="shared" si="17"/>
        <v>-1390.8025257802919</v>
      </c>
      <c r="I194" s="11">
        <f t="shared" si="11"/>
        <v>-1225.6371439987438</v>
      </c>
      <c r="J194" s="7">
        <v>47219</v>
      </c>
    </row>
    <row r="195" spans="1:10" x14ac:dyDescent="0.4">
      <c r="A195" s="13">
        <v>50</v>
      </c>
      <c r="B195" s="28">
        <f t="shared" si="12"/>
        <v>1390.8025257802919</v>
      </c>
      <c r="C195" s="28">
        <f t="shared" si="13"/>
        <v>398.86917363418792</v>
      </c>
      <c r="D195" s="28">
        <f t="shared" si="14"/>
        <v>991.93335214610397</v>
      </c>
      <c r="E195" s="25">
        <f t="shared" si="15"/>
        <v>153409.03708689439</v>
      </c>
      <c r="G195">
        <f t="shared" si="16"/>
        <v>4.1666666666666687</v>
      </c>
      <c r="H195" s="11">
        <f t="shared" si="17"/>
        <v>-1390.8025257802919</v>
      </c>
      <c r="I195" s="11">
        <f t="shared" si="11"/>
        <v>-1222.4790730606435</v>
      </c>
      <c r="J195" s="7">
        <v>47249</v>
      </c>
    </row>
    <row r="196" spans="1:10" x14ac:dyDescent="0.4">
      <c r="A196" s="13">
        <v>51</v>
      </c>
      <c r="B196" s="28">
        <f t="shared" si="12"/>
        <v>1390.8025257802919</v>
      </c>
      <c r="C196" s="28">
        <f t="shared" si="13"/>
        <v>396.30667914114383</v>
      </c>
      <c r="D196" s="28">
        <f t="shared" si="14"/>
        <v>994.49584663914811</v>
      </c>
      <c r="E196" s="25">
        <f t="shared" si="15"/>
        <v>152414.54124025523</v>
      </c>
      <c r="G196">
        <f t="shared" si="16"/>
        <v>4.2500000000000018</v>
      </c>
      <c r="H196" s="11">
        <f t="shared" si="17"/>
        <v>-1390.8025257802919</v>
      </c>
      <c r="I196" s="11">
        <f t="shared" si="11"/>
        <v>-1219.3291394510334</v>
      </c>
      <c r="J196" s="7">
        <v>47280</v>
      </c>
    </row>
    <row r="197" spans="1:10" x14ac:dyDescent="0.4">
      <c r="A197" s="13">
        <v>52</v>
      </c>
      <c r="B197" s="28">
        <f t="shared" si="12"/>
        <v>1390.8025257802919</v>
      </c>
      <c r="C197" s="28">
        <f t="shared" si="13"/>
        <v>393.73756487065936</v>
      </c>
      <c r="D197" s="28">
        <f t="shared" si="14"/>
        <v>997.06496090963265</v>
      </c>
      <c r="E197" s="25">
        <f t="shared" si="15"/>
        <v>151417.4762793456</v>
      </c>
      <c r="G197">
        <f t="shared" si="16"/>
        <v>4.3333333333333348</v>
      </c>
      <c r="H197" s="11">
        <f t="shared" si="17"/>
        <v>-1390.8025257802919</v>
      </c>
      <c r="I197" s="11">
        <f t="shared" si="11"/>
        <v>-1216.1873222026463</v>
      </c>
      <c r="J197" s="7">
        <v>47310</v>
      </c>
    </row>
    <row r="198" spans="1:10" x14ac:dyDescent="0.4">
      <c r="A198" s="13">
        <v>53</v>
      </c>
      <c r="B198" s="28">
        <f t="shared" si="12"/>
        <v>1390.8025257802919</v>
      </c>
      <c r="C198" s="28">
        <f t="shared" si="13"/>
        <v>391.16181372164283</v>
      </c>
      <c r="D198" s="28">
        <f t="shared" si="14"/>
        <v>999.64071205864911</v>
      </c>
      <c r="E198" s="25">
        <f t="shared" si="15"/>
        <v>150417.83556728697</v>
      </c>
      <c r="G198">
        <f t="shared" si="16"/>
        <v>4.4166666666666679</v>
      </c>
      <c r="H198" s="11">
        <f t="shared" si="17"/>
        <v>-1390.8025257802919</v>
      </c>
      <c r="I198" s="11">
        <f t="shared" si="11"/>
        <v>-1213.053600402242</v>
      </c>
      <c r="J198" s="7">
        <v>47341</v>
      </c>
    </row>
    <row r="199" spans="1:10" x14ac:dyDescent="0.4">
      <c r="A199" s="13">
        <v>54</v>
      </c>
      <c r="B199" s="28">
        <f t="shared" si="12"/>
        <v>1390.8025257802919</v>
      </c>
      <c r="C199" s="28">
        <f t="shared" si="13"/>
        <v>388.57940854882463</v>
      </c>
      <c r="D199" s="28">
        <f t="shared" si="14"/>
        <v>1002.2231172314673</v>
      </c>
      <c r="E199" s="25">
        <f t="shared" si="15"/>
        <v>149415.61245005549</v>
      </c>
      <c r="G199">
        <f t="shared" si="16"/>
        <v>4.5000000000000009</v>
      </c>
      <c r="H199" s="11">
        <f t="shared" si="17"/>
        <v>-1390.8025257802919</v>
      </c>
      <c r="I199" s="11">
        <f t="shared" si="11"/>
        <v>-1209.9279531904663</v>
      </c>
      <c r="J199" s="7">
        <v>47372</v>
      </c>
    </row>
    <row r="200" spans="1:10" x14ac:dyDescent="0.4">
      <c r="A200" s="13">
        <v>55</v>
      </c>
      <c r="B200" s="28">
        <f t="shared" si="12"/>
        <v>1390.8025257802919</v>
      </c>
      <c r="C200" s="28">
        <f t="shared" si="13"/>
        <v>385.99033216264331</v>
      </c>
      <c r="D200" s="28">
        <f t="shared" si="14"/>
        <v>1004.8121936176486</v>
      </c>
      <c r="E200" s="25">
        <f t="shared" si="15"/>
        <v>148410.80025643783</v>
      </c>
      <c r="G200">
        <f t="shared" si="16"/>
        <v>4.5833333333333339</v>
      </c>
      <c r="H200" s="11">
        <f t="shared" si="17"/>
        <v>-1390.8025257802919</v>
      </c>
      <c r="I200" s="11">
        <f t="shared" si="11"/>
        <v>-1206.8103597617135</v>
      </c>
      <c r="J200" s="7">
        <v>47402</v>
      </c>
    </row>
    <row r="201" spans="1:10" x14ac:dyDescent="0.4">
      <c r="A201" s="13">
        <v>56</v>
      </c>
      <c r="B201" s="28">
        <f t="shared" si="12"/>
        <v>1390.8025257802919</v>
      </c>
      <c r="C201" s="28">
        <f t="shared" si="13"/>
        <v>383.39456732913106</v>
      </c>
      <c r="D201" s="28">
        <f t="shared" si="14"/>
        <v>1007.4079584511609</v>
      </c>
      <c r="E201" s="25">
        <f t="shared" si="15"/>
        <v>147403.39229798666</v>
      </c>
      <c r="G201">
        <f t="shared" si="16"/>
        <v>4.666666666666667</v>
      </c>
      <c r="H201" s="11">
        <f t="shared" si="17"/>
        <v>-1390.8025257802919</v>
      </c>
      <c r="I201" s="11">
        <f t="shared" si="11"/>
        <v>-1203.7007993639866</v>
      </c>
      <c r="J201" s="7">
        <v>47433</v>
      </c>
    </row>
    <row r="202" spans="1:10" x14ac:dyDescent="0.4">
      <c r="A202" s="13">
        <v>57</v>
      </c>
      <c r="B202" s="28">
        <f t="shared" si="12"/>
        <v>1390.8025257802919</v>
      </c>
      <c r="C202" s="28">
        <f t="shared" si="13"/>
        <v>380.79209676979889</v>
      </c>
      <c r="D202" s="28">
        <f t="shared" si="14"/>
        <v>1010.010429010493</v>
      </c>
      <c r="E202" s="25">
        <f t="shared" si="15"/>
        <v>146393.38186897617</v>
      </c>
      <c r="G202">
        <f t="shared" si="16"/>
        <v>4.75</v>
      </c>
      <c r="H202" s="11">
        <f t="shared" si="17"/>
        <v>-1390.8025257802919</v>
      </c>
      <c r="I202" s="11">
        <f t="shared" si="11"/>
        <v>-1200.5992512987598</v>
      </c>
      <c r="J202" s="7">
        <v>47463</v>
      </c>
    </row>
    <row r="203" spans="1:10" x14ac:dyDescent="0.4">
      <c r="A203" s="13">
        <v>58</v>
      </c>
      <c r="B203" s="28">
        <f t="shared" si="12"/>
        <v>1390.8025257802919</v>
      </c>
      <c r="C203" s="28">
        <f t="shared" si="13"/>
        <v>378.18290316152178</v>
      </c>
      <c r="D203" s="28">
        <f t="shared" si="14"/>
        <v>1012.6196226187701</v>
      </c>
      <c r="E203" s="25">
        <f t="shared" si="15"/>
        <v>145380.76224635739</v>
      </c>
      <c r="G203">
        <f t="shared" si="16"/>
        <v>4.833333333333333</v>
      </c>
      <c r="H203" s="11">
        <f t="shared" si="17"/>
        <v>-1390.8025257802919</v>
      </c>
      <c r="I203" s="11">
        <f t="shared" si="11"/>
        <v>-1197.5056949208408</v>
      </c>
      <c r="J203" s="7">
        <v>47494</v>
      </c>
    </row>
    <row r="204" spans="1:10" x14ac:dyDescent="0.4">
      <c r="A204" s="13">
        <v>59</v>
      </c>
      <c r="B204" s="28">
        <f t="shared" si="12"/>
        <v>1390.8025257802919</v>
      </c>
      <c r="C204" s="28">
        <f t="shared" si="13"/>
        <v>375.56696913642327</v>
      </c>
      <c r="D204" s="28">
        <f t="shared" si="14"/>
        <v>1015.2355566438687</v>
      </c>
      <c r="E204" s="25">
        <f t="shared" si="15"/>
        <v>144365.52668971353</v>
      </c>
      <c r="G204">
        <f t="shared" si="16"/>
        <v>4.9166666666666661</v>
      </c>
      <c r="H204" s="11">
        <f t="shared" si="17"/>
        <v>-1390.8025257802919</v>
      </c>
      <c r="I204" s="11">
        <f t="shared" si="11"/>
        <v>-1194.420109638234</v>
      </c>
      <c r="J204" s="7">
        <v>47525</v>
      </c>
    </row>
    <row r="205" spans="1:10" x14ac:dyDescent="0.4">
      <c r="A205" s="13">
        <v>60</v>
      </c>
      <c r="B205" s="28">
        <f t="shared" si="12"/>
        <v>1390.8025257802919</v>
      </c>
      <c r="C205" s="28">
        <f t="shared" si="13"/>
        <v>372.94427728175992</v>
      </c>
      <c r="D205" s="28">
        <f t="shared" si="14"/>
        <v>1017.858248498532</v>
      </c>
      <c r="E205" s="25">
        <f t="shared" si="15"/>
        <v>143347.66844121501</v>
      </c>
      <c r="G205">
        <f t="shared" si="16"/>
        <v>4.9999999999999991</v>
      </c>
      <c r="H205" s="11">
        <f t="shared" si="17"/>
        <v>-1390.8025257802919</v>
      </c>
      <c r="I205" s="11">
        <f t="shared" si="11"/>
        <v>-1191.3424749120013</v>
      </c>
      <c r="J205" s="7">
        <v>47553</v>
      </c>
    </row>
    <row r="206" spans="1:10" x14ac:dyDescent="0.4">
      <c r="A206" s="13">
        <v>61</v>
      </c>
      <c r="B206" s="28">
        <f t="shared" si="12"/>
        <v>1390.8025257802919</v>
      </c>
      <c r="C206" s="28">
        <f t="shared" si="13"/>
        <v>370.31481013980545</v>
      </c>
      <c r="D206" s="28">
        <f t="shared" si="14"/>
        <v>1020.4877156404865</v>
      </c>
      <c r="E206" s="25">
        <f t="shared" si="15"/>
        <v>142327.18072557452</v>
      </c>
      <c r="G206">
        <f t="shared" si="16"/>
        <v>5.0833333333333321</v>
      </c>
      <c r="H206" s="11">
        <f t="shared" si="17"/>
        <v>-1390.8025257802919</v>
      </c>
      <c r="I206" s="11">
        <f t="shared" si="11"/>
        <v>-1188.2727702561283</v>
      </c>
      <c r="J206" s="7">
        <v>47584</v>
      </c>
    </row>
    <row r="207" spans="1:10" x14ac:dyDescent="0.4">
      <c r="A207" s="13">
        <v>62</v>
      </c>
      <c r="B207" s="28">
        <f t="shared" si="12"/>
        <v>1390.8025257802919</v>
      </c>
      <c r="C207" s="28">
        <f t="shared" si="13"/>
        <v>367.67855020773419</v>
      </c>
      <c r="D207" s="28">
        <f t="shared" si="14"/>
        <v>1023.1239755725578</v>
      </c>
      <c r="E207" s="25">
        <f t="shared" si="15"/>
        <v>141304.05675000197</v>
      </c>
      <c r="G207">
        <f t="shared" si="16"/>
        <v>5.1666666666666652</v>
      </c>
      <c r="H207" s="11">
        <f t="shared" si="17"/>
        <v>-1390.8025257802919</v>
      </c>
      <c r="I207" s="11">
        <f t="shared" si="11"/>
        <v>-1185.2109752373854</v>
      </c>
      <c r="J207" s="7">
        <v>47614</v>
      </c>
    </row>
    <row r="208" spans="1:10" x14ac:dyDescent="0.4">
      <c r="A208" s="13">
        <v>63</v>
      </c>
      <c r="B208" s="28">
        <f t="shared" si="12"/>
        <v>1390.8025257802919</v>
      </c>
      <c r="C208" s="28">
        <f t="shared" si="13"/>
        <v>365.0354799375051</v>
      </c>
      <c r="D208" s="28">
        <f t="shared" si="14"/>
        <v>1025.767045842787</v>
      </c>
      <c r="E208" s="25">
        <f t="shared" si="15"/>
        <v>140278.28970415919</v>
      </c>
      <c r="G208">
        <f t="shared" si="16"/>
        <v>5.2499999999999982</v>
      </c>
      <c r="H208" s="11">
        <f t="shared" si="17"/>
        <v>-1390.8025257802919</v>
      </c>
      <c r="I208" s="11">
        <f t="shared" si="11"/>
        <v>-1182.1570694751931</v>
      </c>
      <c r="J208" s="7">
        <v>47645</v>
      </c>
    </row>
    <row r="209" spans="1:10" x14ac:dyDescent="0.4">
      <c r="A209" s="13">
        <v>64</v>
      </c>
      <c r="B209" s="28">
        <f t="shared" si="12"/>
        <v>1390.8025257802919</v>
      </c>
      <c r="C209" s="28">
        <f t="shared" si="13"/>
        <v>362.38558173574455</v>
      </c>
      <c r="D209" s="28">
        <f t="shared" si="14"/>
        <v>1028.4169440445473</v>
      </c>
      <c r="E209" s="25">
        <f t="shared" si="15"/>
        <v>139249.87276011464</v>
      </c>
      <c r="G209">
        <f t="shared" si="16"/>
        <v>5.3333333333333313</v>
      </c>
      <c r="H209" s="11">
        <f t="shared" si="17"/>
        <v>-1390.8025257802919</v>
      </c>
      <c r="I209" s="11">
        <f t="shared" si="11"/>
        <v>-1179.1110326414864</v>
      </c>
      <c r="J209" s="7">
        <v>47675</v>
      </c>
    </row>
    <row r="210" spans="1:10" x14ac:dyDescent="0.4">
      <c r="A210" s="13">
        <v>65</v>
      </c>
      <c r="B210" s="28">
        <f t="shared" si="12"/>
        <v>1390.8025257802919</v>
      </c>
      <c r="C210" s="28">
        <f t="shared" si="13"/>
        <v>359.72883796362947</v>
      </c>
      <c r="D210" s="28">
        <f t="shared" si="14"/>
        <v>1031.0736878166624</v>
      </c>
      <c r="E210" s="25">
        <f t="shared" si="15"/>
        <v>138218.79907229799</v>
      </c>
      <c r="G210">
        <f t="shared" si="16"/>
        <v>5.4166666666666643</v>
      </c>
      <c r="H210" s="11">
        <f t="shared" si="17"/>
        <v>-1390.8025257802919</v>
      </c>
      <c r="I210" s="11">
        <f t="shared" ref="I210:I273" si="18">H210/(1+$H$142)^G210</f>
        <v>-1176.0728444605786</v>
      </c>
      <c r="J210" s="7">
        <v>47706</v>
      </c>
    </row>
    <row r="211" spans="1:10" x14ac:dyDescent="0.4">
      <c r="A211" s="13">
        <v>66</v>
      </c>
      <c r="B211" s="28">
        <f t="shared" ref="B211:B274" si="19">$B$141</f>
        <v>1390.8025257802919</v>
      </c>
      <c r="C211" s="28">
        <f t="shared" ref="C211:C274" si="20">E210*$B$139</f>
        <v>357.06523093676981</v>
      </c>
      <c r="D211" s="28">
        <f t="shared" ref="D211:D274" si="21">B211-C211</f>
        <v>1033.7372948435222</v>
      </c>
      <c r="E211" s="25">
        <f t="shared" ref="E211:E274" si="22">E210-D211</f>
        <v>137185.06177745445</v>
      </c>
      <c r="G211">
        <f t="shared" ref="G211:G274" si="23">G210+1/12</f>
        <v>5.4999999999999973</v>
      </c>
      <c r="H211" s="11">
        <f t="shared" ref="H211:H274" si="24">-B211</f>
        <v>-1390.8025257802919</v>
      </c>
      <c r="I211" s="11">
        <f t="shared" si="18"/>
        <v>-1173.0424847090276</v>
      </c>
      <c r="J211" s="7">
        <v>47737</v>
      </c>
    </row>
    <row r="212" spans="1:10" x14ac:dyDescent="0.4">
      <c r="A212" s="13">
        <v>67</v>
      </c>
      <c r="B212" s="28">
        <f t="shared" si="19"/>
        <v>1390.8025257802919</v>
      </c>
      <c r="C212" s="28">
        <f t="shared" si="20"/>
        <v>354.39474292509067</v>
      </c>
      <c r="D212" s="28">
        <f t="shared" si="21"/>
        <v>1036.4077828552013</v>
      </c>
      <c r="E212" s="25">
        <f t="shared" si="22"/>
        <v>136148.65399459924</v>
      </c>
      <c r="G212">
        <f t="shared" si="23"/>
        <v>5.5833333333333304</v>
      </c>
      <c r="H212" s="11">
        <f t="shared" si="24"/>
        <v>-1390.8025257802919</v>
      </c>
      <c r="I212" s="11">
        <f t="shared" si="18"/>
        <v>-1170.0199332155</v>
      </c>
      <c r="J212" s="7">
        <v>47767</v>
      </c>
    </row>
    <row r="213" spans="1:10" x14ac:dyDescent="0.4">
      <c r="A213" s="13">
        <v>68</v>
      </c>
      <c r="B213" s="28">
        <f t="shared" si="19"/>
        <v>1390.8025257802919</v>
      </c>
      <c r="C213" s="28">
        <f t="shared" si="20"/>
        <v>351.71735615271473</v>
      </c>
      <c r="D213" s="28">
        <f t="shared" si="21"/>
        <v>1039.0851696275772</v>
      </c>
      <c r="E213" s="25">
        <f t="shared" si="22"/>
        <v>135109.56882497168</v>
      </c>
      <c r="G213">
        <f t="shared" si="23"/>
        <v>5.6666666666666634</v>
      </c>
      <c r="H213" s="11">
        <f t="shared" si="24"/>
        <v>-1390.8025257802919</v>
      </c>
      <c r="I213" s="11">
        <f t="shared" si="18"/>
        <v>-1167.0051698606374</v>
      </c>
      <c r="J213" s="7">
        <v>47798</v>
      </c>
    </row>
    <row r="214" spans="1:10" x14ac:dyDescent="0.4">
      <c r="A214" s="13">
        <v>69</v>
      </c>
      <c r="B214" s="28">
        <f t="shared" si="19"/>
        <v>1390.8025257802919</v>
      </c>
      <c r="C214" s="28">
        <f t="shared" si="20"/>
        <v>349.03305279784348</v>
      </c>
      <c r="D214" s="28">
        <f t="shared" si="21"/>
        <v>1041.7694729824484</v>
      </c>
      <c r="E214" s="25">
        <f t="shared" si="22"/>
        <v>134067.79935198923</v>
      </c>
      <c r="G214">
        <f t="shared" si="23"/>
        <v>5.7499999999999964</v>
      </c>
      <c r="H214" s="11">
        <f t="shared" si="24"/>
        <v>-1390.8025257802919</v>
      </c>
      <c r="I214" s="11">
        <f t="shared" si="18"/>
        <v>-1163.9981745769228</v>
      </c>
      <c r="J214" s="7">
        <v>47828</v>
      </c>
    </row>
    <row r="215" spans="1:10" x14ac:dyDescent="0.4">
      <c r="A215" s="13">
        <v>70</v>
      </c>
      <c r="B215" s="28">
        <f t="shared" si="19"/>
        <v>1390.8025257802919</v>
      </c>
      <c r="C215" s="28">
        <f t="shared" si="20"/>
        <v>346.34181499263883</v>
      </c>
      <c r="D215" s="28">
        <f t="shared" si="21"/>
        <v>1044.4607107876532</v>
      </c>
      <c r="E215" s="25">
        <f t="shared" si="22"/>
        <v>133023.33864120158</v>
      </c>
      <c r="G215">
        <f t="shared" si="23"/>
        <v>5.8333333333333295</v>
      </c>
      <c r="H215" s="11">
        <f t="shared" si="24"/>
        <v>-1390.8025257802919</v>
      </c>
      <c r="I215" s="11">
        <f t="shared" si="18"/>
        <v>-1160.9989273485467</v>
      </c>
      <c r="J215" s="7">
        <v>47859</v>
      </c>
    </row>
    <row r="216" spans="1:10" x14ac:dyDescent="0.4">
      <c r="A216" s="13">
        <v>71</v>
      </c>
      <c r="B216" s="28">
        <f t="shared" si="19"/>
        <v>1390.8025257802919</v>
      </c>
      <c r="C216" s="28">
        <f t="shared" si="20"/>
        <v>343.64362482310406</v>
      </c>
      <c r="D216" s="28">
        <f t="shared" si="21"/>
        <v>1047.1589009571878</v>
      </c>
      <c r="E216" s="25">
        <f t="shared" si="22"/>
        <v>131976.17974024441</v>
      </c>
      <c r="G216">
        <f t="shared" si="23"/>
        <v>5.9166666666666625</v>
      </c>
      <c r="H216" s="11">
        <f t="shared" si="24"/>
        <v>-1390.8025257802919</v>
      </c>
      <c r="I216" s="11">
        <f t="shared" si="18"/>
        <v>-1158.0074082112737</v>
      </c>
      <c r="J216" s="7">
        <v>47890</v>
      </c>
    </row>
    <row r="217" spans="1:10" x14ac:dyDescent="0.4">
      <c r="A217" s="13">
        <v>72</v>
      </c>
      <c r="B217" s="28">
        <f t="shared" si="19"/>
        <v>1390.8025257802919</v>
      </c>
      <c r="C217" s="28">
        <f t="shared" si="20"/>
        <v>340.9384643289647</v>
      </c>
      <c r="D217" s="28">
        <f t="shared" si="21"/>
        <v>1049.8640614513272</v>
      </c>
      <c r="E217" s="25">
        <f t="shared" si="22"/>
        <v>130926.31567879308</v>
      </c>
      <c r="G217">
        <f t="shared" si="23"/>
        <v>5.9999999999999956</v>
      </c>
      <c r="H217" s="11">
        <f t="shared" si="24"/>
        <v>-1390.8025257802919</v>
      </c>
      <c r="I217" s="11">
        <f t="shared" si="18"/>
        <v>-1155.0235972523096</v>
      </c>
      <c r="J217" s="7">
        <v>47918</v>
      </c>
    </row>
    <row r="218" spans="1:10" x14ac:dyDescent="0.4">
      <c r="A218" s="13">
        <v>73</v>
      </c>
      <c r="B218" s="28">
        <f t="shared" si="19"/>
        <v>1390.8025257802919</v>
      </c>
      <c r="C218" s="28">
        <f t="shared" si="20"/>
        <v>338.22631550354879</v>
      </c>
      <c r="D218" s="28">
        <f t="shared" si="21"/>
        <v>1052.576210276743</v>
      </c>
      <c r="E218" s="25">
        <f t="shared" si="22"/>
        <v>129873.73946851633</v>
      </c>
      <c r="G218">
        <f t="shared" si="23"/>
        <v>6.0833333333333286</v>
      </c>
      <c r="H218" s="11">
        <f t="shared" si="24"/>
        <v>-1390.8025257802919</v>
      </c>
      <c r="I218" s="11">
        <f t="shared" si="18"/>
        <v>-1152.0474746101695</v>
      </c>
      <c r="J218" s="7">
        <v>47949</v>
      </c>
    </row>
    <row r="219" spans="1:10" x14ac:dyDescent="0.4">
      <c r="A219" s="13">
        <v>74</v>
      </c>
      <c r="B219" s="28">
        <f t="shared" si="19"/>
        <v>1390.8025257802919</v>
      </c>
      <c r="C219" s="28">
        <f t="shared" si="20"/>
        <v>335.5071602936672</v>
      </c>
      <c r="D219" s="28">
        <f t="shared" si="21"/>
        <v>1055.2953654866246</v>
      </c>
      <c r="E219" s="25">
        <f t="shared" si="22"/>
        <v>128818.4441030297</v>
      </c>
      <c r="G219">
        <f t="shared" si="23"/>
        <v>6.1666666666666616</v>
      </c>
      <c r="H219" s="11">
        <f t="shared" si="24"/>
        <v>-1390.8025257802919</v>
      </c>
      <c r="I219" s="11">
        <f t="shared" si="18"/>
        <v>-1149.0790204745451</v>
      </c>
      <c r="J219" s="7">
        <v>47979</v>
      </c>
    </row>
    <row r="220" spans="1:10" x14ac:dyDescent="0.4">
      <c r="A220" s="13">
        <v>75</v>
      </c>
      <c r="B220" s="28">
        <f t="shared" si="19"/>
        <v>1390.8025257802919</v>
      </c>
      <c r="C220" s="28">
        <f t="shared" si="20"/>
        <v>332.78098059949338</v>
      </c>
      <c r="D220" s="28">
        <f t="shared" si="21"/>
        <v>1058.0215451807985</v>
      </c>
      <c r="E220" s="25">
        <f t="shared" si="22"/>
        <v>127760.4225578489</v>
      </c>
      <c r="G220">
        <f t="shared" si="23"/>
        <v>6.2499999999999947</v>
      </c>
      <c r="H220" s="11">
        <f t="shared" si="24"/>
        <v>-1390.8025257802919</v>
      </c>
      <c r="I220" s="11">
        <f t="shared" si="18"/>
        <v>-1146.1182150861723</v>
      </c>
      <c r="J220" s="7">
        <v>48010</v>
      </c>
    </row>
    <row r="221" spans="1:10" x14ac:dyDescent="0.4">
      <c r="A221" s="13">
        <v>76</v>
      </c>
      <c r="B221" s="28">
        <f t="shared" si="19"/>
        <v>1390.8025257802919</v>
      </c>
      <c r="C221" s="28">
        <f t="shared" si="20"/>
        <v>330.04775827444297</v>
      </c>
      <c r="D221" s="28">
        <f t="shared" si="21"/>
        <v>1060.754767505849</v>
      </c>
      <c r="E221" s="25">
        <f t="shared" si="22"/>
        <v>126699.66779034305</v>
      </c>
      <c r="G221">
        <f t="shared" si="23"/>
        <v>6.3333333333333277</v>
      </c>
      <c r="H221" s="11">
        <f t="shared" si="24"/>
        <v>-1390.8025257802919</v>
      </c>
      <c r="I221" s="11">
        <f t="shared" si="18"/>
        <v>-1143.1650387367008</v>
      </c>
      <c r="J221" s="7">
        <v>48040</v>
      </c>
    </row>
    <row r="222" spans="1:10" x14ac:dyDescent="0.4">
      <c r="A222" s="13">
        <v>77</v>
      </c>
      <c r="B222" s="28">
        <f t="shared" si="19"/>
        <v>1390.8025257802919</v>
      </c>
      <c r="C222" s="28">
        <f t="shared" si="20"/>
        <v>327.30747512505286</v>
      </c>
      <c r="D222" s="28">
        <f t="shared" si="21"/>
        <v>1063.4950506552391</v>
      </c>
      <c r="E222" s="25">
        <f t="shared" si="22"/>
        <v>125636.17273968781</v>
      </c>
      <c r="G222">
        <f t="shared" si="23"/>
        <v>6.4166666666666607</v>
      </c>
      <c r="H222" s="11">
        <f t="shared" si="24"/>
        <v>-1390.8025257802919</v>
      </c>
      <c r="I222" s="11">
        <f t="shared" si="18"/>
        <v>-1140.219471768562</v>
      </c>
      <c r="J222" s="7">
        <v>48071</v>
      </c>
    </row>
    <row r="223" spans="1:10" x14ac:dyDescent="0.4">
      <c r="A223" s="13">
        <v>78</v>
      </c>
      <c r="B223" s="28">
        <f t="shared" si="19"/>
        <v>1390.8025257802919</v>
      </c>
      <c r="C223" s="28">
        <f t="shared" si="20"/>
        <v>324.5601129108602</v>
      </c>
      <c r="D223" s="28">
        <f t="shared" si="21"/>
        <v>1066.2424128694317</v>
      </c>
      <c r="E223" s="25">
        <f t="shared" si="22"/>
        <v>124569.93032681839</v>
      </c>
      <c r="G223">
        <f t="shared" si="23"/>
        <v>6.4999999999999938</v>
      </c>
      <c r="H223" s="11">
        <f t="shared" si="24"/>
        <v>-1390.8025257802919</v>
      </c>
      <c r="I223" s="11">
        <f t="shared" si="18"/>
        <v>-1137.2814945748387</v>
      </c>
      <c r="J223" s="7">
        <v>48102</v>
      </c>
    </row>
    <row r="224" spans="1:10" x14ac:dyDescent="0.4">
      <c r="A224" s="13">
        <v>79</v>
      </c>
      <c r="B224" s="28">
        <f t="shared" si="19"/>
        <v>1390.8025257802919</v>
      </c>
      <c r="C224" s="28">
        <f t="shared" si="20"/>
        <v>321.80565334428081</v>
      </c>
      <c r="D224" s="28">
        <f t="shared" si="21"/>
        <v>1068.996872436011</v>
      </c>
      <c r="E224" s="25">
        <f t="shared" si="22"/>
        <v>123500.93345438238</v>
      </c>
      <c r="G224">
        <f t="shared" si="23"/>
        <v>6.5833333333333268</v>
      </c>
      <c r="H224" s="11">
        <f t="shared" si="24"/>
        <v>-1390.8025257802919</v>
      </c>
      <c r="I224" s="11">
        <f t="shared" si="18"/>
        <v>-1134.3510875991349</v>
      </c>
      <c r="J224" s="7">
        <v>48132</v>
      </c>
    </row>
    <row r="225" spans="1:10" x14ac:dyDescent="0.4">
      <c r="A225" s="13">
        <v>80</v>
      </c>
      <c r="B225" s="28">
        <f t="shared" si="19"/>
        <v>1390.8025257802919</v>
      </c>
      <c r="C225" s="28">
        <f t="shared" si="20"/>
        <v>319.0440780904878</v>
      </c>
      <c r="D225" s="28">
        <f t="shared" si="21"/>
        <v>1071.7584476898041</v>
      </c>
      <c r="E225" s="25">
        <f t="shared" si="22"/>
        <v>122429.17500669257</v>
      </c>
      <c r="G225">
        <f t="shared" si="23"/>
        <v>6.6666666666666599</v>
      </c>
      <c r="H225" s="11">
        <f t="shared" si="24"/>
        <v>-1390.8025257802919</v>
      </c>
      <c r="I225" s="11">
        <f t="shared" si="18"/>
        <v>-1131.4282313354436</v>
      </c>
      <c r="J225" s="7">
        <v>48163</v>
      </c>
    </row>
    <row r="226" spans="1:10" x14ac:dyDescent="0.4">
      <c r="A226" s="13">
        <v>81</v>
      </c>
      <c r="B226" s="28">
        <f t="shared" si="19"/>
        <v>1390.8025257802919</v>
      </c>
      <c r="C226" s="28">
        <f t="shared" si="20"/>
        <v>316.27536876728914</v>
      </c>
      <c r="D226" s="28">
        <f t="shared" si="21"/>
        <v>1074.5271570130028</v>
      </c>
      <c r="E226" s="25">
        <f t="shared" si="22"/>
        <v>121354.64784967958</v>
      </c>
      <c r="G226">
        <f t="shared" si="23"/>
        <v>6.7499999999999929</v>
      </c>
      <c r="H226" s="11">
        <f t="shared" si="24"/>
        <v>-1390.8025257802919</v>
      </c>
      <c r="I226" s="11">
        <f t="shared" si="18"/>
        <v>-1128.5129063280203</v>
      </c>
      <c r="J226" s="7">
        <v>48193</v>
      </c>
    </row>
    <row r="227" spans="1:10" x14ac:dyDescent="0.4">
      <c r="A227" s="13">
        <v>82</v>
      </c>
      <c r="B227" s="28">
        <f t="shared" si="19"/>
        <v>1390.8025257802919</v>
      </c>
      <c r="C227" s="28">
        <f t="shared" si="20"/>
        <v>313.49950694500558</v>
      </c>
      <c r="D227" s="28">
        <f t="shared" si="21"/>
        <v>1077.3030188352864</v>
      </c>
      <c r="E227" s="25">
        <f t="shared" si="22"/>
        <v>120277.34483084429</v>
      </c>
      <c r="G227">
        <f t="shared" si="23"/>
        <v>6.8333333333333259</v>
      </c>
      <c r="H227" s="11">
        <f t="shared" si="24"/>
        <v>-1390.8025257802919</v>
      </c>
      <c r="I227" s="11">
        <f t="shared" si="18"/>
        <v>-1125.6050931712502</v>
      </c>
      <c r="J227" s="7">
        <v>48224</v>
      </c>
    </row>
    <row r="228" spans="1:10" x14ac:dyDescent="0.4">
      <c r="A228" s="13">
        <v>83</v>
      </c>
      <c r="B228" s="28">
        <f t="shared" si="19"/>
        <v>1390.8025257802919</v>
      </c>
      <c r="C228" s="28">
        <f t="shared" si="20"/>
        <v>310.71647414634776</v>
      </c>
      <c r="D228" s="28">
        <f t="shared" si="21"/>
        <v>1080.0860516339442</v>
      </c>
      <c r="E228" s="25">
        <f t="shared" si="22"/>
        <v>119197.25877921034</v>
      </c>
      <c r="G228">
        <f t="shared" si="23"/>
        <v>6.916666666666659</v>
      </c>
      <c r="H228" s="11">
        <f t="shared" si="24"/>
        <v>-1390.8025257802919</v>
      </c>
      <c r="I228" s="11">
        <f t="shared" si="18"/>
        <v>-1122.7047725095215</v>
      </c>
      <c r="J228" s="7">
        <v>48255</v>
      </c>
    </row>
    <row r="229" spans="1:10" x14ac:dyDescent="0.4">
      <c r="A229" s="13">
        <v>84</v>
      </c>
      <c r="B229" s="28">
        <f t="shared" si="19"/>
        <v>1390.8025257802919</v>
      </c>
      <c r="C229" s="28">
        <f t="shared" si="20"/>
        <v>307.92625184629338</v>
      </c>
      <c r="D229" s="28">
        <f t="shared" si="21"/>
        <v>1082.8762739339986</v>
      </c>
      <c r="E229" s="25">
        <f t="shared" si="22"/>
        <v>118114.38250527634</v>
      </c>
      <c r="G229">
        <f t="shared" si="23"/>
        <v>6.999999999999992</v>
      </c>
      <c r="H229" s="11">
        <f t="shared" si="24"/>
        <v>-1390.8025257802919</v>
      </c>
      <c r="I229" s="11">
        <f t="shared" si="18"/>
        <v>-1119.8119250370951</v>
      </c>
      <c r="J229" s="7">
        <v>48284</v>
      </c>
    </row>
    <row r="230" spans="1:10" x14ac:dyDescent="0.4">
      <c r="A230" s="13">
        <v>85</v>
      </c>
      <c r="B230" s="28">
        <f t="shared" si="19"/>
        <v>1390.8025257802919</v>
      </c>
      <c r="C230" s="28">
        <f t="shared" si="20"/>
        <v>305.12882147196387</v>
      </c>
      <c r="D230" s="28">
        <f t="shared" si="21"/>
        <v>1085.6737043083281</v>
      </c>
      <c r="E230" s="25">
        <f t="shared" si="22"/>
        <v>117028.70880096802</v>
      </c>
      <c r="G230">
        <f t="shared" si="23"/>
        <v>7.083333333333325</v>
      </c>
      <c r="H230" s="11">
        <f t="shared" si="24"/>
        <v>-1390.8025257802919</v>
      </c>
      <c r="I230" s="11">
        <f t="shared" si="18"/>
        <v>-1116.9265314979766</v>
      </c>
      <c r="J230" s="7">
        <v>48315</v>
      </c>
    </row>
    <row r="231" spans="1:10" x14ac:dyDescent="0.4">
      <c r="A231" s="13">
        <v>86</v>
      </c>
      <c r="B231" s="28">
        <f t="shared" si="19"/>
        <v>1390.8025257802919</v>
      </c>
      <c r="C231" s="28">
        <f t="shared" si="20"/>
        <v>302.32416440250068</v>
      </c>
      <c r="D231" s="28">
        <f t="shared" si="21"/>
        <v>1088.4783613777913</v>
      </c>
      <c r="E231" s="25">
        <f t="shared" si="22"/>
        <v>115940.23043959022</v>
      </c>
      <c r="G231">
        <f t="shared" si="23"/>
        <v>7.1666666666666581</v>
      </c>
      <c r="H231" s="11">
        <f t="shared" si="24"/>
        <v>-1390.8025257802919</v>
      </c>
      <c r="I231" s="11">
        <f t="shared" si="18"/>
        <v>-1114.048572685788</v>
      </c>
      <c r="J231" s="7">
        <v>48345</v>
      </c>
    </row>
    <row r="232" spans="1:10" x14ac:dyDescent="0.4">
      <c r="A232" s="13">
        <v>87</v>
      </c>
      <c r="B232" s="28">
        <f t="shared" si="19"/>
        <v>1390.8025257802919</v>
      </c>
      <c r="C232" s="28">
        <f t="shared" si="20"/>
        <v>299.5122619689414</v>
      </c>
      <c r="D232" s="28">
        <f t="shared" si="21"/>
        <v>1091.2902638113505</v>
      </c>
      <c r="E232" s="25">
        <f t="shared" si="22"/>
        <v>114848.94017577887</v>
      </c>
      <c r="G232">
        <f t="shared" si="23"/>
        <v>7.2499999999999911</v>
      </c>
      <c r="H232" s="11">
        <f t="shared" si="24"/>
        <v>-1390.8025257802919</v>
      </c>
      <c r="I232" s="11">
        <f t="shared" si="18"/>
        <v>-1111.1780294436401</v>
      </c>
      <c r="J232" s="7">
        <v>48376</v>
      </c>
    </row>
    <row r="233" spans="1:10" x14ac:dyDescent="0.4">
      <c r="A233" s="13">
        <v>88</v>
      </c>
      <c r="B233" s="28">
        <f t="shared" si="19"/>
        <v>1390.8025257802919</v>
      </c>
      <c r="C233" s="28">
        <f t="shared" si="20"/>
        <v>296.69309545409544</v>
      </c>
      <c r="D233" s="28">
        <f t="shared" si="21"/>
        <v>1094.1094303261966</v>
      </c>
      <c r="E233" s="25">
        <f t="shared" si="22"/>
        <v>113754.83074545268</v>
      </c>
      <c r="G233">
        <f t="shared" si="23"/>
        <v>7.3333333333333242</v>
      </c>
      <c r="H233" s="11">
        <f t="shared" si="24"/>
        <v>-1390.8025257802919</v>
      </c>
      <c r="I233" s="11">
        <f t="shared" si="18"/>
        <v>-1108.3148826640049</v>
      </c>
      <c r="J233" s="7">
        <v>48406</v>
      </c>
    </row>
    <row r="234" spans="1:10" x14ac:dyDescent="0.4">
      <c r="A234" s="13">
        <v>89</v>
      </c>
      <c r="B234" s="28">
        <f t="shared" si="19"/>
        <v>1390.8025257802919</v>
      </c>
      <c r="C234" s="28">
        <f t="shared" si="20"/>
        <v>293.86664609241944</v>
      </c>
      <c r="D234" s="28">
        <f t="shared" si="21"/>
        <v>1096.9358796878726</v>
      </c>
      <c r="E234" s="25">
        <f t="shared" si="22"/>
        <v>112657.89486576481</v>
      </c>
      <c r="G234">
        <f t="shared" si="23"/>
        <v>7.4166666666666572</v>
      </c>
      <c r="H234" s="11">
        <f t="shared" si="24"/>
        <v>-1390.8025257802919</v>
      </c>
      <c r="I234" s="11">
        <f t="shared" si="18"/>
        <v>-1105.4591132885878</v>
      </c>
      <c r="J234" s="7">
        <v>48437</v>
      </c>
    </row>
    <row r="235" spans="1:10" x14ac:dyDescent="0.4">
      <c r="A235" s="13">
        <v>90</v>
      </c>
      <c r="B235" s="28">
        <f t="shared" si="19"/>
        <v>1390.8025257802919</v>
      </c>
      <c r="C235" s="28">
        <f t="shared" si="20"/>
        <v>291.03289506989245</v>
      </c>
      <c r="D235" s="28">
        <f t="shared" si="21"/>
        <v>1099.7696307103995</v>
      </c>
      <c r="E235" s="25">
        <f t="shared" si="22"/>
        <v>111558.12523505441</v>
      </c>
      <c r="G235">
        <f t="shared" si="23"/>
        <v>7.4999999999999902</v>
      </c>
      <c r="H235" s="11">
        <f t="shared" si="24"/>
        <v>-1390.8025257802919</v>
      </c>
      <c r="I235" s="11">
        <f t="shared" si="18"/>
        <v>-1102.610702308202</v>
      </c>
      <c r="J235" s="7">
        <v>48468</v>
      </c>
    </row>
    <row r="236" spans="1:10" x14ac:dyDescent="0.4">
      <c r="A236" s="13">
        <v>91</v>
      </c>
      <c r="B236" s="28">
        <f t="shared" si="19"/>
        <v>1390.8025257802919</v>
      </c>
      <c r="C236" s="28">
        <f t="shared" si="20"/>
        <v>288.19182352389055</v>
      </c>
      <c r="D236" s="28">
        <f t="shared" si="21"/>
        <v>1102.6107022564015</v>
      </c>
      <c r="E236" s="25">
        <f t="shared" si="22"/>
        <v>110455.51453279801</v>
      </c>
      <c r="G236">
        <f t="shared" si="23"/>
        <v>7.5833333333333233</v>
      </c>
      <c r="H236" s="11">
        <f t="shared" si="24"/>
        <v>-1390.8025257802919</v>
      </c>
      <c r="I236" s="11">
        <f t="shared" si="18"/>
        <v>-1099.7696307626406</v>
      </c>
      <c r="J236" s="7">
        <v>48498</v>
      </c>
    </row>
    <row r="237" spans="1:10" x14ac:dyDescent="0.4">
      <c r="A237" s="13">
        <v>92</v>
      </c>
      <c r="B237" s="28">
        <f t="shared" si="19"/>
        <v>1390.8025257802919</v>
      </c>
      <c r="C237" s="28">
        <f t="shared" si="20"/>
        <v>285.34341254306156</v>
      </c>
      <c r="D237" s="28">
        <f t="shared" si="21"/>
        <v>1105.4591132372304</v>
      </c>
      <c r="E237" s="25">
        <f t="shared" si="22"/>
        <v>109350.05541956078</v>
      </c>
      <c r="G237">
        <f t="shared" si="23"/>
        <v>7.6666666666666563</v>
      </c>
      <c r="H237" s="11">
        <f t="shared" si="24"/>
        <v>-1390.8025257802919</v>
      </c>
      <c r="I237" s="11">
        <f t="shared" si="18"/>
        <v>-1096.9358797405516</v>
      </c>
      <c r="J237" s="7">
        <v>48529</v>
      </c>
    </row>
    <row r="238" spans="1:10" x14ac:dyDescent="0.4">
      <c r="A238" s="13">
        <v>93</v>
      </c>
      <c r="B238" s="28">
        <f t="shared" si="19"/>
        <v>1390.8025257802919</v>
      </c>
      <c r="C238" s="28">
        <f t="shared" si="20"/>
        <v>282.48764316719871</v>
      </c>
      <c r="D238" s="28">
        <f t="shared" si="21"/>
        <v>1108.3148826130932</v>
      </c>
      <c r="E238" s="25">
        <f t="shared" si="22"/>
        <v>108241.74053694769</v>
      </c>
      <c r="G238">
        <f t="shared" si="23"/>
        <v>7.7499999999999893</v>
      </c>
      <c r="H238" s="11">
        <f t="shared" si="24"/>
        <v>-1390.8025257802919</v>
      </c>
      <c r="I238" s="11">
        <f t="shared" si="18"/>
        <v>-1094.1094303793111</v>
      </c>
      <c r="J238" s="7">
        <v>48559</v>
      </c>
    </row>
    <row r="239" spans="1:10" x14ac:dyDescent="0.4">
      <c r="A239" s="13">
        <v>94</v>
      </c>
      <c r="B239" s="28">
        <f t="shared" si="19"/>
        <v>1390.8025257802919</v>
      </c>
      <c r="C239" s="28">
        <f t="shared" si="20"/>
        <v>279.62449638711485</v>
      </c>
      <c r="D239" s="28">
        <f t="shared" si="21"/>
        <v>1111.178029393177</v>
      </c>
      <c r="E239" s="25">
        <f t="shared" si="22"/>
        <v>107130.56250755451</v>
      </c>
      <c r="G239">
        <f t="shared" si="23"/>
        <v>7.8333333333333224</v>
      </c>
      <c r="H239" s="11">
        <f t="shared" si="24"/>
        <v>-1390.8025257802919</v>
      </c>
      <c r="I239" s="11">
        <f t="shared" si="18"/>
        <v>-1091.290263864898</v>
      </c>
      <c r="J239" s="7">
        <v>48590</v>
      </c>
    </row>
    <row r="240" spans="1:10" x14ac:dyDescent="0.4">
      <c r="A240" s="13">
        <v>95</v>
      </c>
      <c r="B240" s="28">
        <f t="shared" si="19"/>
        <v>1390.8025257802919</v>
      </c>
      <c r="C240" s="28">
        <f t="shared" si="20"/>
        <v>276.75395314451583</v>
      </c>
      <c r="D240" s="28">
        <f t="shared" si="21"/>
        <v>1114.0485726357761</v>
      </c>
      <c r="E240" s="25">
        <f t="shared" si="22"/>
        <v>106016.51393491874</v>
      </c>
      <c r="G240">
        <f t="shared" si="23"/>
        <v>7.9166666666666554</v>
      </c>
      <c r="H240" s="11">
        <f t="shared" si="24"/>
        <v>-1390.8025257802919</v>
      </c>
      <c r="I240" s="11">
        <f t="shared" si="18"/>
        <v>-1088.4783614317689</v>
      </c>
      <c r="J240" s="7">
        <v>48621</v>
      </c>
    </row>
    <row r="241" spans="1:10" x14ac:dyDescent="0.4">
      <c r="A241" s="13">
        <v>96</v>
      </c>
      <c r="B241" s="28">
        <f t="shared" si="19"/>
        <v>1390.8025257802919</v>
      </c>
      <c r="C241" s="28">
        <f t="shared" si="20"/>
        <v>273.87599433187341</v>
      </c>
      <c r="D241" s="28">
        <f t="shared" si="21"/>
        <v>1116.9265314484185</v>
      </c>
      <c r="E241" s="25">
        <f t="shared" si="22"/>
        <v>104899.58740347032</v>
      </c>
      <c r="G241">
        <f t="shared" si="23"/>
        <v>7.9999999999999885</v>
      </c>
      <c r="H241" s="11">
        <f t="shared" si="24"/>
        <v>-1390.8025257802919</v>
      </c>
      <c r="I241" s="11">
        <f t="shared" si="18"/>
        <v>-1085.6737043627334</v>
      </c>
      <c r="J241" s="7">
        <v>48649</v>
      </c>
    </row>
    <row r="242" spans="1:10" x14ac:dyDescent="0.4">
      <c r="A242" s="13">
        <v>97</v>
      </c>
      <c r="B242" s="28">
        <f t="shared" si="19"/>
        <v>1390.8025257802919</v>
      </c>
      <c r="C242" s="28">
        <f t="shared" si="20"/>
        <v>270.99060079229832</v>
      </c>
      <c r="D242" s="28">
        <f t="shared" si="21"/>
        <v>1119.8119249879937</v>
      </c>
      <c r="E242" s="25">
        <f t="shared" si="22"/>
        <v>103779.77547848232</v>
      </c>
      <c r="G242">
        <f t="shared" si="23"/>
        <v>8.0833333333333215</v>
      </c>
      <c r="H242" s="11">
        <f t="shared" si="24"/>
        <v>-1390.8025257802919</v>
      </c>
      <c r="I242" s="11">
        <f t="shared" si="18"/>
        <v>-1082.8762739888289</v>
      </c>
      <c r="J242" s="7">
        <v>48680</v>
      </c>
    </row>
    <row r="243" spans="1:10" x14ac:dyDescent="0.4">
      <c r="A243" s="13">
        <v>98</v>
      </c>
      <c r="B243" s="28">
        <f t="shared" si="19"/>
        <v>1390.8025257802919</v>
      </c>
      <c r="C243" s="28">
        <f t="shared" si="20"/>
        <v>268.09775331941267</v>
      </c>
      <c r="D243" s="28">
        <f t="shared" si="21"/>
        <v>1122.7047724608792</v>
      </c>
      <c r="E243" s="25">
        <f t="shared" si="22"/>
        <v>102657.07070602143</v>
      </c>
      <c r="G243">
        <f t="shared" si="23"/>
        <v>8.1666666666666554</v>
      </c>
      <c r="H243" s="11">
        <f t="shared" si="24"/>
        <v>-1390.8025257802919</v>
      </c>
      <c r="I243" s="11">
        <f t="shared" si="18"/>
        <v>-1080.0860516891971</v>
      </c>
      <c r="J243" s="7">
        <v>48710</v>
      </c>
    </row>
    <row r="244" spans="1:10" x14ac:dyDescent="0.4">
      <c r="A244" s="13">
        <v>99</v>
      </c>
      <c r="B244" s="28">
        <f t="shared" si="19"/>
        <v>1390.8025257802919</v>
      </c>
      <c r="C244" s="28">
        <f t="shared" si="20"/>
        <v>265.19743265722201</v>
      </c>
      <c r="D244" s="28">
        <f t="shared" si="21"/>
        <v>1125.60509312307</v>
      </c>
      <c r="E244" s="25">
        <f t="shared" si="22"/>
        <v>101531.46561289836</v>
      </c>
      <c r="G244">
        <f t="shared" si="23"/>
        <v>8.2499999999999893</v>
      </c>
      <c r="H244" s="11">
        <f t="shared" si="24"/>
        <v>-1390.8025257802919</v>
      </c>
      <c r="I244" s="11">
        <f t="shared" si="18"/>
        <v>-1077.303018890959</v>
      </c>
      <c r="J244" s="7">
        <v>48741</v>
      </c>
    </row>
    <row r="245" spans="1:10" x14ac:dyDescent="0.4">
      <c r="A245" s="13">
        <v>100</v>
      </c>
      <c r="B245" s="28">
        <f t="shared" si="19"/>
        <v>1390.8025257802919</v>
      </c>
      <c r="C245" s="28">
        <f t="shared" si="20"/>
        <v>262.28961949998745</v>
      </c>
      <c r="D245" s="28">
        <f t="shared" si="21"/>
        <v>1128.5129062803044</v>
      </c>
      <c r="E245" s="25">
        <f t="shared" si="22"/>
        <v>100402.95270661806</v>
      </c>
      <c r="G245">
        <f t="shared" si="23"/>
        <v>8.3333333333333233</v>
      </c>
      <c r="H245" s="11">
        <f t="shared" si="24"/>
        <v>-1390.8025257802919</v>
      </c>
      <c r="I245" s="11">
        <f t="shared" si="18"/>
        <v>-1074.5271570690929</v>
      </c>
      <c r="J245" s="7">
        <v>48771</v>
      </c>
    </row>
    <row r="246" spans="1:10" x14ac:dyDescent="0.4">
      <c r="A246" s="13">
        <v>101</v>
      </c>
      <c r="B246" s="28">
        <f t="shared" si="19"/>
        <v>1390.8025257802919</v>
      </c>
      <c r="C246" s="28">
        <f t="shared" si="20"/>
        <v>259.37429449209668</v>
      </c>
      <c r="D246" s="28">
        <f t="shared" si="21"/>
        <v>1131.4282312881953</v>
      </c>
      <c r="E246" s="25">
        <f t="shared" si="22"/>
        <v>99271.524475329861</v>
      </c>
      <c r="G246">
        <f t="shared" si="23"/>
        <v>8.4166666666666572</v>
      </c>
      <c r="H246" s="11">
        <f t="shared" si="24"/>
        <v>-1390.8025257802919</v>
      </c>
      <c r="I246" s="11">
        <f t="shared" si="18"/>
        <v>-1071.7584477463092</v>
      </c>
      <c r="J246" s="7">
        <v>48802</v>
      </c>
    </row>
    <row r="247" spans="1:10" x14ac:dyDescent="0.4">
      <c r="A247" s="13">
        <v>102</v>
      </c>
      <c r="B247" s="28">
        <f t="shared" si="19"/>
        <v>1390.8025257802919</v>
      </c>
      <c r="C247" s="28">
        <f t="shared" si="20"/>
        <v>256.45143822793545</v>
      </c>
      <c r="D247" s="28">
        <f t="shared" si="21"/>
        <v>1134.3510875523566</v>
      </c>
      <c r="E247" s="25">
        <f t="shared" si="22"/>
        <v>98137.173387777511</v>
      </c>
      <c r="G247">
        <f t="shared" si="23"/>
        <v>8.4999999999999911</v>
      </c>
      <c r="H247" s="11">
        <f t="shared" si="24"/>
        <v>-1390.8025257802919</v>
      </c>
      <c r="I247" s="11">
        <f t="shared" si="18"/>
        <v>-1068.9968724929286</v>
      </c>
      <c r="J247" s="7">
        <v>48833</v>
      </c>
    </row>
    <row r="248" spans="1:10" x14ac:dyDescent="0.4">
      <c r="A248" s="13">
        <v>103</v>
      </c>
      <c r="B248" s="28">
        <f t="shared" si="19"/>
        <v>1390.8025257802919</v>
      </c>
      <c r="C248" s="28">
        <f t="shared" si="20"/>
        <v>253.52103125175856</v>
      </c>
      <c r="D248" s="28">
        <f t="shared" si="21"/>
        <v>1137.2814945285334</v>
      </c>
      <c r="E248" s="25">
        <f t="shared" si="22"/>
        <v>96999.891893248976</v>
      </c>
      <c r="G248">
        <f t="shared" si="23"/>
        <v>8.583333333333325</v>
      </c>
      <c r="H248" s="11">
        <f t="shared" si="24"/>
        <v>-1390.8025257802919</v>
      </c>
      <c r="I248" s="11">
        <f t="shared" si="18"/>
        <v>-1066.242412926759</v>
      </c>
      <c r="J248" s="7">
        <v>48863</v>
      </c>
    </row>
    <row r="249" spans="1:10" x14ac:dyDescent="0.4">
      <c r="A249" s="13">
        <v>104</v>
      </c>
      <c r="B249" s="28">
        <f t="shared" si="19"/>
        <v>1390.8025257802919</v>
      </c>
      <c r="C249" s="28">
        <f t="shared" si="20"/>
        <v>250.58305405755985</v>
      </c>
      <c r="D249" s="28">
        <f t="shared" si="21"/>
        <v>1140.2194717227321</v>
      </c>
      <c r="E249" s="25">
        <f t="shared" si="22"/>
        <v>95859.672421526251</v>
      </c>
      <c r="G249">
        <f t="shared" si="23"/>
        <v>8.666666666666659</v>
      </c>
      <c r="H249" s="11">
        <f t="shared" si="24"/>
        <v>-1390.8025257802919</v>
      </c>
      <c r="I249" s="11">
        <f t="shared" si="18"/>
        <v>-1063.4950507129738</v>
      </c>
      <c r="J249" s="7">
        <v>48894</v>
      </c>
    </row>
    <row r="250" spans="1:10" x14ac:dyDescent="0.4">
      <c r="A250" s="13">
        <v>105</v>
      </c>
      <c r="B250" s="28">
        <f t="shared" si="19"/>
        <v>1390.8025257802919</v>
      </c>
      <c r="C250" s="28">
        <f t="shared" si="20"/>
        <v>247.63748708894281</v>
      </c>
      <c r="D250" s="28">
        <f t="shared" si="21"/>
        <v>1143.1650386913491</v>
      </c>
      <c r="E250" s="25">
        <f t="shared" si="22"/>
        <v>94716.507382834898</v>
      </c>
      <c r="G250">
        <f t="shared" si="23"/>
        <v>8.7499999999999929</v>
      </c>
      <c r="H250" s="11">
        <f t="shared" si="24"/>
        <v>-1390.8025257802919</v>
      </c>
      <c r="I250" s="11">
        <f t="shared" si="18"/>
        <v>-1060.7547675639885</v>
      </c>
      <c r="J250" s="7">
        <v>48924</v>
      </c>
    </row>
    <row r="251" spans="1:10" x14ac:dyDescent="0.4">
      <c r="A251" s="13">
        <v>106</v>
      </c>
      <c r="B251" s="28">
        <f t="shared" si="19"/>
        <v>1390.8025257802919</v>
      </c>
      <c r="C251" s="28">
        <f t="shared" si="20"/>
        <v>244.68431073899015</v>
      </c>
      <c r="D251" s="28">
        <f t="shared" si="21"/>
        <v>1146.1182150413017</v>
      </c>
      <c r="E251" s="25">
        <f t="shared" si="22"/>
        <v>93570.38916779359</v>
      </c>
      <c r="G251">
        <f t="shared" si="23"/>
        <v>8.8333333333333268</v>
      </c>
      <c r="H251" s="11">
        <f t="shared" si="24"/>
        <v>-1390.8025257802919</v>
      </c>
      <c r="I251" s="11">
        <f t="shared" si="18"/>
        <v>-1058.0215452393406</v>
      </c>
      <c r="J251" s="7">
        <v>48955</v>
      </c>
    </row>
    <row r="252" spans="1:10" x14ac:dyDescent="0.4">
      <c r="A252" s="13">
        <v>107</v>
      </c>
      <c r="B252" s="28">
        <f t="shared" si="19"/>
        <v>1390.8025257802919</v>
      </c>
      <c r="C252" s="28">
        <f t="shared" si="20"/>
        <v>241.72350535013345</v>
      </c>
      <c r="D252" s="28">
        <f t="shared" si="21"/>
        <v>1149.0790204301584</v>
      </c>
      <c r="E252" s="25">
        <f t="shared" si="22"/>
        <v>92421.310147363431</v>
      </c>
      <c r="G252">
        <f t="shared" si="23"/>
        <v>8.9166666666666607</v>
      </c>
      <c r="H252" s="11">
        <f t="shared" si="24"/>
        <v>-1390.8025257802919</v>
      </c>
      <c r="I252" s="11">
        <f t="shared" si="18"/>
        <v>-1055.2953655455669</v>
      </c>
      <c r="J252" s="7">
        <v>48986</v>
      </c>
    </row>
    <row r="253" spans="1:10" x14ac:dyDescent="0.4">
      <c r="A253" s="13">
        <v>108</v>
      </c>
      <c r="B253" s="28">
        <f t="shared" si="19"/>
        <v>1390.8025257802919</v>
      </c>
      <c r="C253" s="28">
        <f t="shared" si="20"/>
        <v>238.75505121402219</v>
      </c>
      <c r="D253" s="28">
        <f t="shared" si="21"/>
        <v>1152.0474745662698</v>
      </c>
      <c r="E253" s="25">
        <f t="shared" si="22"/>
        <v>91269.262672797166</v>
      </c>
      <c r="G253">
        <f t="shared" si="23"/>
        <v>8.9999999999999947</v>
      </c>
      <c r="H253" s="11">
        <f t="shared" si="24"/>
        <v>-1390.8025257802919</v>
      </c>
      <c r="I253" s="11">
        <f t="shared" si="18"/>
        <v>-1052.5762103360828</v>
      </c>
      <c r="J253" s="7">
        <v>49014</v>
      </c>
    </row>
    <row r="254" spans="1:10" x14ac:dyDescent="0.4">
      <c r="A254" s="13">
        <v>109</v>
      </c>
      <c r="B254" s="28">
        <f t="shared" si="19"/>
        <v>1390.8025257802919</v>
      </c>
      <c r="C254" s="28">
        <f t="shared" si="20"/>
        <v>235.77892857139267</v>
      </c>
      <c r="D254" s="28">
        <f t="shared" si="21"/>
        <v>1155.0235972088992</v>
      </c>
      <c r="E254" s="25">
        <f t="shared" si="22"/>
        <v>90114.239075588266</v>
      </c>
      <c r="G254">
        <f t="shared" si="23"/>
        <v>9.0833333333333286</v>
      </c>
      <c r="H254" s="11">
        <f t="shared" si="24"/>
        <v>-1390.8025257802919</v>
      </c>
      <c r="I254" s="11">
        <f t="shared" si="18"/>
        <v>-1049.8640615110621</v>
      </c>
      <c r="J254" s="7">
        <v>49045</v>
      </c>
    </row>
    <row r="255" spans="1:10" x14ac:dyDescent="0.4">
      <c r="A255" s="13">
        <v>110</v>
      </c>
      <c r="B255" s="28">
        <f t="shared" si="19"/>
        <v>1390.8025257802919</v>
      </c>
      <c r="C255" s="28">
        <f t="shared" si="20"/>
        <v>232.79511761193635</v>
      </c>
      <c r="D255" s="28">
        <f t="shared" si="21"/>
        <v>1158.0074081683556</v>
      </c>
      <c r="E255" s="25">
        <f t="shared" si="22"/>
        <v>88956.23166741991</v>
      </c>
      <c r="G255">
        <f t="shared" si="23"/>
        <v>9.1666666666666625</v>
      </c>
      <c r="H255" s="11">
        <f t="shared" si="24"/>
        <v>-1390.8025257802919</v>
      </c>
      <c r="I255" s="11">
        <f t="shared" si="18"/>
        <v>-1047.1589010173152</v>
      </c>
      <c r="J255" s="7">
        <v>49075</v>
      </c>
    </row>
    <row r="256" spans="1:10" x14ac:dyDescent="0.4">
      <c r="A256" s="13">
        <v>111</v>
      </c>
      <c r="B256" s="28">
        <f t="shared" si="19"/>
        <v>1390.8025257802919</v>
      </c>
      <c r="C256" s="28">
        <f t="shared" si="20"/>
        <v>229.8035984741681</v>
      </c>
      <c r="D256" s="28">
        <f t="shared" si="21"/>
        <v>1160.9989273061237</v>
      </c>
      <c r="E256" s="25">
        <f t="shared" si="22"/>
        <v>87795.232740113788</v>
      </c>
      <c r="G256">
        <f t="shared" si="23"/>
        <v>9.2499999999999964</v>
      </c>
      <c r="H256" s="11">
        <f t="shared" si="24"/>
        <v>-1390.8025257802919</v>
      </c>
      <c r="I256" s="11">
        <f t="shared" si="18"/>
        <v>-1044.4607108481707</v>
      </c>
      <c r="J256" s="7">
        <v>49106</v>
      </c>
    </row>
    <row r="257" spans="1:10" x14ac:dyDescent="0.4">
      <c r="A257" s="13">
        <v>112</v>
      </c>
      <c r="B257" s="28">
        <f t="shared" si="19"/>
        <v>1390.8025257802919</v>
      </c>
      <c r="C257" s="28">
        <f t="shared" si="20"/>
        <v>226.80435124529396</v>
      </c>
      <c r="D257" s="28">
        <f t="shared" si="21"/>
        <v>1163.998174534998</v>
      </c>
      <c r="E257" s="25">
        <f t="shared" si="22"/>
        <v>86631.234565578794</v>
      </c>
      <c r="G257">
        <f t="shared" si="23"/>
        <v>9.3333333333333304</v>
      </c>
      <c r="H257" s="11">
        <f t="shared" si="24"/>
        <v>-1390.8025257802919</v>
      </c>
      <c r="I257" s="11">
        <f t="shared" si="18"/>
        <v>-1041.7694730433541</v>
      </c>
      <c r="J257" s="7">
        <v>49136</v>
      </c>
    </row>
    <row r="258" spans="1:10" x14ac:dyDescent="0.4">
      <c r="A258" s="13">
        <v>113</v>
      </c>
      <c r="B258" s="28">
        <f t="shared" si="19"/>
        <v>1390.8025257802919</v>
      </c>
      <c r="C258" s="28">
        <f t="shared" si="20"/>
        <v>223.79735596107855</v>
      </c>
      <c r="D258" s="28">
        <f t="shared" si="21"/>
        <v>1167.0051698192133</v>
      </c>
      <c r="E258" s="25">
        <f t="shared" si="22"/>
        <v>85464.229395759583</v>
      </c>
      <c r="G258">
        <f t="shared" si="23"/>
        <v>9.4166666666666643</v>
      </c>
      <c r="H258" s="11">
        <f t="shared" si="24"/>
        <v>-1390.8025257802919</v>
      </c>
      <c r="I258" s="11">
        <f t="shared" si="18"/>
        <v>-1039.0851696888683</v>
      </c>
      <c r="J258" s="7">
        <v>49167</v>
      </c>
    </row>
    <row r="259" spans="1:10" x14ac:dyDescent="0.4">
      <c r="A259" s="13">
        <v>114</v>
      </c>
      <c r="B259" s="28">
        <f t="shared" si="19"/>
        <v>1390.8025257802919</v>
      </c>
      <c r="C259" s="28">
        <f t="shared" si="20"/>
        <v>220.78259260571227</v>
      </c>
      <c r="D259" s="28">
        <f t="shared" si="21"/>
        <v>1170.0199331745796</v>
      </c>
      <c r="E259" s="25">
        <f t="shared" si="22"/>
        <v>84294.209462585</v>
      </c>
      <c r="G259">
        <f t="shared" si="23"/>
        <v>9.4999999999999982</v>
      </c>
      <c r="H259" s="11">
        <f t="shared" si="24"/>
        <v>-1390.8025257802919</v>
      </c>
      <c r="I259" s="11">
        <f t="shared" si="18"/>
        <v>-1036.4077829168752</v>
      </c>
      <c r="J259" s="7">
        <v>49198</v>
      </c>
    </row>
    <row r="260" spans="1:10" x14ac:dyDescent="0.4">
      <c r="A260" s="13">
        <v>115</v>
      </c>
      <c r="B260" s="28">
        <f t="shared" si="19"/>
        <v>1390.8025257802919</v>
      </c>
      <c r="C260" s="28">
        <f t="shared" si="20"/>
        <v>217.76004111167791</v>
      </c>
      <c r="D260" s="28">
        <f t="shared" si="21"/>
        <v>1173.042484668614</v>
      </c>
      <c r="E260" s="25">
        <f t="shared" si="22"/>
        <v>83121.166977916393</v>
      </c>
      <c r="G260">
        <f t="shared" si="23"/>
        <v>9.5833333333333321</v>
      </c>
      <c r="H260" s="11">
        <f t="shared" si="24"/>
        <v>-1390.8025257802919</v>
      </c>
      <c r="I260" s="11">
        <f t="shared" si="18"/>
        <v>-1033.7372949055768</v>
      </c>
      <c r="J260" s="7">
        <v>49228</v>
      </c>
    </row>
    <row r="261" spans="1:10" x14ac:dyDescent="0.4">
      <c r="A261" s="13">
        <v>116</v>
      </c>
      <c r="B261" s="28">
        <f t="shared" si="19"/>
        <v>1390.8025257802919</v>
      </c>
      <c r="C261" s="28">
        <f t="shared" si="20"/>
        <v>214.72968135961736</v>
      </c>
      <c r="D261" s="28">
        <f t="shared" si="21"/>
        <v>1176.0728444206745</v>
      </c>
      <c r="E261" s="25">
        <f t="shared" si="22"/>
        <v>81945.094133495717</v>
      </c>
      <c r="G261">
        <f t="shared" si="23"/>
        <v>9.6666666666666661</v>
      </c>
      <c r="H261" s="11">
        <f t="shared" si="24"/>
        <v>-1390.8025257802919</v>
      </c>
      <c r="I261" s="11">
        <f t="shared" si="18"/>
        <v>-1031.0736878790954</v>
      </c>
      <c r="J261" s="7">
        <v>49259</v>
      </c>
    </row>
    <row r="262" spans="1:10" x14ac:dyDescent="0.4">
      <c r="A262" s="13">
        <v>117</v>
      </c>
      <c r="B262" s="28">
        <f t="shared" si="19"/>
        <v>1390.8025257802919</v>
      </c>
      <c r="C262" s="28">
        <f t="shared" si="20"/>
        <v>211.69149317819728</v>
      </c>
      <c r="D262" s="28">
        <f t="shared" si="21"/>
        <v>1179.1110326020946</v>
      </c>
      <c r="E262" s="25">
        <f t="shared" si="22"/>
        <v>80765.983100893616</v>
      </c>
      <c r="G262">
        <f t="shared" si="23"/>
        <v>9.75</v>
      </c>
      <c r="H262" s="11">
        <f t="shared" si="24"/>
        <v>-1390.8025257802919</v>
      </c>
      <c r="I262" s="11">
        <f t="shared" si="18"/>
        <v>-1028.4169441073561</v>
      </c>
      <c r="J262" s="7">
        <v>49289</v>
      </c>
    </row>
    <row r="263" spans="1:10" x14ac:dyDescent="0.4">
      <c r="A263" s="13">
        <v>118</v>
      </c>
      <c r="B263" s="28">
        <f t="shared" si="19"/>
        <v>1390.8025257802919</v>
      </c>
      <c r="C263" s="28">
        <f t="shared" si="20"/>
        <v>208.64545634397518</v>
      </c>
      <c r="D263" s="28">
        <f t="shared" si="21"/>
        <v>1182.1570694363168</v>
      </c>
      <c r="E263" s="25">
        <f t="shared" si="22"/>
        <v>79583.826031457298</v>
      </c>
      <c r="G263">
        <f t="shared" si="23"/>
        <v>9.8333333333333339</v>
      </c>
      <c r="H263" s="11">
        <f t="shared" si="24"/>
        <v>-1390.8025257802919</v>
      </c>
      <c r="I263" s="11">
        <f t="shared" si="18"/>
        <v>-1025.7670459059693</v>
      </c>
      <c r="J263" s="7">
        <v>49320</v>
      </c>
    </row>
    <row r="264" spans="1:10" x14ac:dyDescent="0.4">
      <c r="A264" s="13">
        <v>119</v>
      </c>
      <c r="B264" s="28">
        <f t="shared" si="19"/>
        <v>1390.8025257802919</v>
      </c>
      <c r="C264" s="28">
        <f t="shared" si="20"/>
        <v>205.5915505812647</v>
      </c>
      <c r="D264" s="28">
        <f t="shared" si="21"/>
        <v>1185.2109751990272</v>
      </c>
      <c r="E264" s="25">
        <f t="shared" si="22"/>
        <v>78398.615056258277</v>
      </c>
      <c r="G264">
        <f t="shared" si="23"/>
        <v>9.9166666666666679</v>
      </c>
      <c r="H264" s="11">
        <f t="shared" si="24"/>
        <v>-1390.8025257802919</v>
      </c>
      <c r="I264" s="11">
        <f t="shared" si="18"/>
        <v>-1023.1239756361115</v>
      </c>
      <c r="J264" s="7">
        <v>49351</v>
      </c>
    </row>
    <row r="265" spans="1:10" x14ac:dyDescent="0.4">
      <c r="A265" s="13">
        <v>120</v>
      </c>
      <c r="B265" s="28">
        <f t="shared" si="19"/>
        <v>1390.8025257802919</v>
      </c>
      <c r="C265" s="28">
        <f t="shared" si="20"/>
        <v>202.52975556200056</v>
      </c>
      <c r="D265" s="28">
        <f t="shared" si="21"/>
        <v>1188.2727702182915</v>
      </c>
      <c r="E265" s="25">
        <f t="shared" si="22"/>
        <v>77210.342286039988</v>
      </c>
      <c r="G265">
        <f t="shared" si="23"/>
        <v>10.000000000000002</v>
      </c>
      <c r="H265" s="11">
        <f t="shared" si="24"/>
        <v>-1390.8025257802919</v>
      </c>
      <c r="I265" s="11">
        <f t="shared" si="18"/>
        <v>-1020.4877157044091</v>
      </c>
      <c r="J265" s="7">
        <v>49379</v>
      </c>
    </row>
    <row r="266" spans="1:10" x14ac:dyDescent="0.4">
      <c r="A266" s="13">
        <v>121</v>
      </c>
      <c r="B266" s="28">
        <f t="shared" si="19"/>
        <v>1390.8025257802919</v>
      </c>
      <c r="C266" s="28">
        <f t="shared" si="20"/>
        <v>199.46005090560331</v>
      </c>
      <c r="D266" s="28">
        <f t="shared" si="21"/>
        <v>1191.3424748746886</v>
      </c>
      <c r="E266" s="25">
        <f t="shared" si="22"/>
        <v>76018.999811165297</v>
      </c>
      <c r="G266">
        <f t="shared" si="23"/>
        <v>10.083333333333336</v>
      </c>
      <c r="H266" s="11">
        <f t="shared" si="24"/>
        <v>-1390.8025257802919</v>
      </c>
      <c r="I266" s="11">
        <f t="shared" si="18"/>
        <v>-1017.8582485628211</v>
      </c>
      <c r="J266" s="7">
        <v>49410</v>
      </c>
    </row>
    <row r="267" spans="1:10" x14ac:dyDescent="0.4">
      <c r="A267" s="13">
        <v>122</v>
      </c>
      <c r="B267" s="28">
        <f t="shared" si="19"/>
        <v>1390.8025257802919</v>
      </c>
      <c r="C267" s="28">
        <f t="shared" si="20"/>
        <v>196.38241617884367</v>
      </c>
      <c r="D267" s="28">
        <f t="shared" si="21"/>
        <v>1194.4201096014483</v>
      </c>
      <c r="E267" s="25">
        <f t="shared" si="22"/>
        <v>74824.579701563853</v>
      </c>
      <c r="G267">
        <f t="shared" si="23"/>
        <v>10.16666666666667</v>
      </c>
      <c r="H267" s="11">
        <f t="shared" si="24"/>
        <v>-1390.8025257802919</v>
      </c>
      <c r="I267" s="11">
        <f t="shared" si="18"/>
        <v>-1015.2355567085222</v>
      </c>
      <c r="J267" s="7">
        <v>49440</v>
      </c>
    </row>
    <row r="268" spans="1:10" x14ac:dyDescent="0.4">
      <c r="A268" s="13">
        <v>123</v>
      </c>
      <c r="B268" s="28">
        <f t="shared" si="19"/>
        <v>1390.8025257802919</v>
      </c>
      <c r="C268" s="28">
        <f t="shared" si="20"/>
        <v>193.29683089570662</v>
      </c>
      <c r="D268" s="28">
        <f t="shared" si="21"/>
        <v>1197.5056948845854</v>
      </c>
      <c r="E268" s="25">
        <f t="shared" si="22"/>
        <v>73627.074006679264</v>
      </c>
      <c r="G268">
        <f t="shared" si="23"/>
        <v>10.250000000000004</v>
      </c>
      <c r="H268" s="11">
        <f t="shared" si="24"/>
        <v>-1390.8025257802919</v>
      </c>
      <c r="I268" s="11">
        <f t="shared" si="18"/>
        <v>-1012.6196226837856</v>
      </c>
      <c r="J268" s="7">
        <v>49471</v>
      </c>
    </row>
    <row r="269" spans="1:10" x14ac:dyDescent="0.4">
      <c r="A269" s="13">
        <v>124</v>
      </c>
      <c r="B269" s="28">
        <f t="shared" si="19"/>
        <v>1390.8025257802919</v>
      </c>
      <c r="C269" s="28">
        <f t="shared" si="20"/>
        <v>190.20327451725475</v>
      </c>
      <c r="D269" s="28">
        <f t="shared" si="21"/>
        <v>1200.5992512630371</v>
      </c>
      <c r="E269" s="25">
        <f t="shared" si="22"/>
        <v>72426.474755416231</v>
      </c>
      <c r="G269">
        <f t="shared" si="23"/>
        <v>10.333333333333337</v>
      </c>
      <c r="H269" s="11">
        <f t="shared" si="24"/>
        <v>-1390.8025257802919</v>
      </c>
      <c r="I269" s="11">
        <f t="shared" si="18"/>
        <v>-1010.0104290758682</v>
      </c>
      <c r="J269" s="7">
        <v>49501</v>
      </c>
    </row>
    <row r="270" spans="1:10" x14ac:dyDescent="0.4">
      <c r="A270" s="13">
        <v>125</v>
      </c>
      <c r="B270" s="28">
        <f t="shared" si="19"/>
        <v>1390.8025257802919</v>
      </c>
      <c r="C270" s="28">
        <f t="shared" si="20"/>
        <v>187.10172645149194</v>
      </c>
      <c r="D270" s="28">
        <f t="shared" si="21"/>
        <v>1203.7007993288</v>
      </c>
      <c r="E270" s="25">
        <f t="shared" si="22"/>
        <v>71222.773956087432</v>
      </c>
      <c r="G270">
        <f t="shared" si="23"/>
        <v>10.416666666666671</v>
      </c>
      <c r="H270" s="11">
        <f t="shared" si="24"/>
        <v>-1390.8025257802919</v>
      </c>
      <c r="I270" s="11">
        <f t="shared" si="18"/>
        <v>-1007.4079585168934</v>
      </c>
      <c r="J270" s="7">
        <v>49532</v>
      </c>
    </row>
    <row r="271" spans="1:10" x14ac:dyDescent="0.4">
      <c r="A271" s="13">
        <v>126</v>
      </c>
      <c r="B271" s="28">
        <f t="shared" si="19"/>
        <v>1390.8025257802919</v>
      </c>
      <c r="C271" s="28">
        <f t="shared" si="20"/>
        <v>183.99216605322587</v>
      </c>
      <c r="D271" s="28">
        <f t="shared" si="21"/>
        <v>1206.810359727066</v>
      </c>
      <c r="E271" s="25">
        <f t="shared" si="22"/>
        <v>70015.963596360365</v>
      </c>
      <c r="G271">
        <f t="shared" si="23"/>
        <v>10.500000000000005</v>
      </c>
      <c r="H271" s="11">
        <f t="shared" si="24"/>
        <v>-1390.8025257802919</v>
      </c>
      <c r="I271" s="11">
        <f t="shared" si="18"/>
        <v>-1004.8121936837363</v>
      </c>
      <c r="J271" s="7">
        <v>49563</v>
      </c>
    </row>
    <row r="272" spans="1:10" x14ac:dyDescent="0.4">
      <c r="A272" s="13">
        <v>127</v>
      </c>
      <c r="B272" s="28">
        <f t="shared" si="19"/>
        <v>1390.8025257802919</v>
      </c>
      <c r="C272" s="28">
        <f t="shared" si="20"/>
        <v>180.87457262393093</v>
      </c>
      <c r="D272" s="28">
        <f t="shared" si="21"/>
        <v>1209.9279531563611</v>
      </c>
      <c r="E272" s="25">
        <f t="shared" si="22"/>
        <v>68806.035643203999</v>
      </c>
      <c r="G272">
        <f t="shared" si="23"/>
        <v>10.583333333333339</v>
      </c>
      <c r="H272" s="11">
        <f t="shared" si="24"/>
        <v>-1390.8025257802919</v>
      </c>
      <c r="I272" s="11">
        <f t="shared" si="18"/>
        <v>-1002.2231172979078</v>
      </c>
      <c r="J272" s="7">
        <v>49593</v>
      </c>
    </row>
    <row r="273" spans="1:10" x14ac:dyDescent="0.4">
      <c r="A273" s="13">
        <v>128</v>
      </c>
      <c r="B273" s="28">
        <f t="shared" si="19"/>
        <v>1390.8025257802919</v>
      </c>
      <c r="C273" s="28">
        <f t="shared" si="20"/>
        <v>177.74892541161032</v>
      </c>
      <c r="D273" s="28">
        <f t="shared" si="21"/>
        <v>1213.0536003686816</v>
      </c>
      <c r="E273" s="25">
        <f t="shared" si="22"/>
        <v>67592.982042835312</v>
      </c>
      <c r="G273">
        <f t="shared" si="23"/>
        <v>10.666666666666673</v>
      </c>
      <c r="H273" s="11">
        <f t="shared" si="24"/>
        <v>-1390.8025257802919</v>
      </c>
      <c r="I273" s="11">
        <f t="shared" si="18"/>
        <v>-999.64071212544013</v>
      </c>
      <c r="J273" s="7">
        <v>49624</v>
      </c>
    </row>
    <row r="274" spans="1:10" x14ac:dyDescent="0.4">
      <c r="A274" s="13">
        <v>129</v>
      </c>
      <c r="B274" s="28">
        <f t="shared" si="19"/>
        <v>1390.8025257802919</v>
      </c>
      <c r="C274" s="28">
        <f t="shared" si="20"/>
        <v>174.61520361065789</v>
      </c>
      <c r="D274" s="28">
        <f t="shared" si="21"/>
        <v>1216.1873221696342</v>
      </c>
      <c r="E274" s="25">
        <f t="shared" si="22"/>
        <v>66376.794720665683</v>
      </c>
      <c r="G274">
        <f t="shared" si="23"/>
        <v>10.750000000000007</v>
      </c>
      <c r="H274" s="11">
        <f t="shared" si="24"/>
        <v>-1390.8025257802919</v>
      </c>
      <c r="I274" s="11">
        <f t="shared" ref="I274:I325" si="25">H274/(1+$H$142)^G274</f>
        <v>-997.06496097677189</v>
      </c>
      <c r="J274" s="7">
        <v>49654</v>
      </c>
    </row>
    <row r="275" spans="1:10" x14ac:dyDescent="0.4">
      <c r="A275" s="13">
        <v>130</v>
      </c>
      <c r="B275" s="28">
        <f t="shared" ref="B275:B325" si="26">$B$141</f>
        <v>1390.8025257802919</v>
      </c>
      <c r="C275" s="28">
        <f t="shared" ref="C275:C325" si="27">E274*$B$139</f>
        <v>171.47338636171969</v>
      </c>
      <c r="D275" s="28">
        <f t="shared" ref="D275:D325" si="28">B275-C275</f>
        <v>1219.3291394185721</v>
      </c>
      <c r="E275" s="25">
        <f t="shared" ref="E275:E325" si="29">E274-D275</f>
        <v>65157.46558124711</v>
      </c>
      <c r="G275">
        <f t="shared" ref="G275:G325" si="30">G274+1/12</f>
        <v>10.833333333333341</v>
      </c>
      <c r="H275" s="11">
        <f t="shared" ref="H275:H325" si="31">-B275</f>
        <v>-1390.8025257802919</v>
      </c>
      <c r="I275" s="11">
        <f t="shared" si="25"/>
        <v>-994.49584670663364</v>
      </c>
      <c r="J275" s="7">
        <v>49685</v>
      </c>
    </row>
    <row r="276" spans="1:10" x14ac:dyDescent="0.4">
      <c r="A276" s="13">
        <v>131</v>
      </c>
      <c r="B276" s="28">
        <f t="shared" si="26"/>
        <v>1390.8025257802919</v>
      </c>
      <c r="C276" s="28">
        <f t="shared" si="27"/>
        <v>168.32345275155504</v>
      </c>
      <c r="D276" s="28">
        <f t="shared" si="28"/>
        <v>1222.4790730287368</v>
      </c>
      <c r="E276" s="25">
        <f t="shared" si="29"/>
        <v>63934.986508218375</v>
      </c>
      <c r="G276">
        <f t="shared" si="30"/>
        <v>10.916666666666675</v>
      </c>
      <c r="H276" s="11">
        <f t="shared" si="31"/>
        <v>-1390.8025257802919</v>
      </c>
      <c r="I276" s="11">
        <f t="shared" si="25"/>
        <v>-991.93335221393329</v>
      </c>
      <c r="J276" s="7">
        <v>49716</v>
      </c>
    </row>
    <row r="277" spans="1:10" x14ac:dyDescent="0.4">
      <c r="A277" s="13">
        <v>132</v>
      </c>
      <c r="B277" s="28">
        <f t="shared" si="26"/>
        <v>1390.8025257802919</v>
      </c>
      <c r="C277" s="28">
        <f t="shared" si="27"/>
        <v>165.16538181289746</v>
      </c>
      <c r="D277" s="28">
        <f t="shared" si="28"/>
        <v>1225.6371439673944</v>
      </c>
      <c r="E277" s="25">
        <f t="shared" si="29"/>
        <v>62709.349364250978</v>
      </c>
      <c r="G277">
        <f t="shared" si="30"/>
        <v>11.000000000000009</v>
      </c>
      <c r="H277" s="11">
        <f t="shared" si="31"/>
        <v>-1390.8025257802919</v>
      </c>
      <c r="I277" s="11">
        <f t="shared" si="25"/>
        <v>-989.37746044164362</v>
      </c>
      <c r="J277" s="7">
        <v>49745</v>
      </c>
    </row>
    <row r="278" spans="1:10" x14ac:dyDescent="0.4">
      <c r="A278" s="13">
        <v>133</v>
      </c>
      <c r="B278" s="28">
        <f t="shared" si="26"/>
        <v>1390.8025257802919</v>
      </c>
      <c r="C278" s="28">
        <f t="shared" si="27"/>
        <v>161.99915252431504</v>
      </c>
      <c r="D278" s="28">
        <f t="shared" si="28"/>
        <v>1228.803373255977</v>
      </c>
      <c r="E278" s="25">
        <f t="shared" si="29"/>
        <v>61480.545990995</v>
      </c>
      <c r="G278">
        <f t="shared" si="30"/>
        <v>11.083333333333343</v>
      </c>
      <c r="H278" s="11">
        <f t="shared" si="31"/>
        <v>-1390.8025257802919</v>
      </c>
      <c r="I278" s="11">
        <f t="shared" si="25"/>
        <v>-986.82815437668683</v>
      </c>
      <c r="J278" s="7">
        <v>49776</v>
      </c>
    </row>
    <row r="279" spans="1:10" x14ac:dyDescent="0.4">
      <c r="A279" s="13">
        <v>134</v>
      </c>
      <c r="B279" s="28">
        <f t="shared" si="26"/>
        <v>1390.8025257802919</v>
      </c>
      <c r="C279" s="28">
        <f t="shared" si="27"/>
        <v>158.82474381007043</v>
      </c>
      <c r="D279" s="28">
        <f t="shared" si="28"/>
        <v>1231.9777819702215</v>
      </c>
      <c r="E279" s="25">
        <f t="shared" si="29"/>
        <v>60248.568209024779</v>
      </c>
      <c r="G279">
        <f t="shared" si="30"/>
        <v>11.166666666666677</v>
      </c>
      <c r="H279" s="11">
        <f t="shared" si="31"/>
        <v>-1390.8025257802919</v>
      </c>
      <c r="I279" s="11">
        <f t="shared" si="25"/>
        <v>-984.2854170498232</v>
      </c>
      <c r="J279" s="7">
        <v>49806</v>
      </c>
    </row>
    <row r="280" spans="1:10" x14ac:dyDescent="0.4">
      <c r="A280" s="13">
        <v>135</v>
      </c>
      <c r="B280" s="28">
        <f t="shared" si="26"/>
        <v>1390.8025257802919</v>
      </c>
      <c r="C280" s="28">
        <f t="shared" si="27"/>
        <v>155.64213453998067</v>
      </c>
      <c r="D280" s="28">
        <f t="shared" si="28"/>
        <v>1235.1603912403114</v>
      </c>
      <c r="E280" s="25">
        <f t="shared" si="29"/>
        <v>59013.407817784471</v>
      </c>
      <c r="G280">
        <f t="shared" si="30"/>
        <v>11.250000000000011</v>
      </c>
      <c r="H280" s="11">
        <f t="shared" si="31"/>
        <v>-1390.8025257802919</v>
      </c>
      <c r="I280" s="11">
        <f t="shared" si="25"/>
        <v>-981.74923153553686</v>
      </c>
      <c r="J280" s="7">
        <v>49837</v>
      </c>
    </row>
    <row r="281" spans="1:10" x14ac:dyDescent="0.4">
      <c r="A281" s="13">
        <v>136</v>
      </c>
      <c r="B281" s="28">
        <f t="shared" si="26"/>
        <v>1390.8025257802919</v>
      </c>
      <c r="C281" s="28">
        <f t="shared" si="27"/>
        <v>152.45130352927654</v>
      </c>
      <c r="D281" s="28">
        <f t="shared" si="28"/>
        <v>1238.3512222510153</v>
      </c>
      <c r="E281" s="25">
        <f t="shared" si="29"/>
        <v>57775.056595533453</v>
      </c>
      <c r="G281">
        <f t="shared" si="30"/>
        <v>11.333333333333345</v>
      </c>
      <c r="H281" s="11">
        <f t="shared" si="31"/>
        <v>-1390.8025257802919</v>
      </c>
      <c r="I281" s="11">
        <f t="shared" si="25"/>
        <v>-979.2195809519236</v>
      </c>
      <c r="J281" s="7">
        <v>49867</v>
      </c>
    </row>
    <row r="282" spans="1:10" x14ac:dyDescent="0.4">
      <c r="A282" s="13">
        <v>137</v>
      </c>
      <c r="B282" s="28">
        <f t="shared" si="26"/>
        <v>1390.8025257802919</v>
      </c>
      <c r="C282" s="28">
        <f t="shared" si="27"/>
        <v>149.25222953846142</v>
      </c>
      <c r="D282" s="28">
        <f t="shared" si="28"/>
        <v>1241.5502962418304</v>
      </c>
      <c r="E282" s="25">
        <f t="shared" si="29"/>
        <v>56533.506299291621</v>
      </c>
      <c r="G282">
        <f t="shared" si="30"/>
        <v>11.416666666666679</v>
      </c>
      <c r="H282" s="11">
        <f t="shared" si="31"/>
        <v>-1390.8025257802919</v>
      </c>
      <c r="I282" s="11">
        <f t="shared" si="25"/>
        <v>-976.69644846057827</v>
      </c>
      <c r="J282" s="7">
        <v>49898</v>
      </c>
    </row>
    <row r="283" spans="1:10" x14ac:dyDescent="0.4">
      <c r="A283" s="13">
        <v>138</v>
      </c>
      <c r="B283" s="28">
        <f t="shared" si="26"/>
        <v>1390.8025257802919</v>
      </c>
      <c r="C283" s="28">
        <f t="shared" si="27"/>
        <v>146.04489127317001</v>
      </c>
      <c r="D283" s="28">
        <f t="shared" si="28"/>
        <v>1244.757634507122</v>
      </c>
      <c r="E283" s="25">
        <f t="shared" si="29"/>
        <v>55288.7486647845</v>
      </c>
      <c r="G283">
        <f t="shared" si="30"/>
        <v>11.500000000000012</v>
      </c>
      <c r="H283" s="11">
        <f t="shared" si="31"/>
        <v>-1390.8025257802919</v>
      </c>
      <c r="I283" s="11">
        <f t="shared" si="25"/>
        <v>-974.17981726648293</v>
      </c>
      <c r="J283" s="7">
        <v>49929</v>
      </c>
    </row>
    <row r="284" spans="1:10" x14ac:dyDescent="0.4">
      <c r="A284" s="13">
        <v>139</v>
      </c>
      <c r="B284" s="28">
        <f t="shared" si="26"/>
        <v>1390.8025257802919</v>
      </c>
      <c r="C284" s="28">
        <f t="shared" si="27"/>
        <v>142.82926738402662</v>
      </c>
      <c r="D284" s="28">
        <f t="shared" si="28"/>
        <v>1247.9732583962652</v>
      </c>
      <c r="E284" s="25">
        <f t="shared" si="29"/>
        <v>54040.775406388231</v>
      </c>
      <c r="G284">
        <f t="shared" si="30"/>
        <v>11.583333333333346</v>
      </c>
      <c r="H284" s="11">
        <f t="shared" si="31"/>
        <v>-1390.8025257802919</v>
      </c>
      <c r="I284" s="11">
        <f t="shared" si="25"/>
        <v>-971.66967061789524</v>
      </c>
      <c r="J284" s="7">
        <v>49959</v>
      </c>
    </row>
    <row r="285" spans="1:10" x14ac:dyDescent="0.4">
      <c r="A285" s="13">
        <v>140</v>
      </c>
      <c r="B285" s="28">
        <f t="shared" si="26"/>
        <v>1390.8025257802919</v>
      </c>
      <c r="C285" s="28">
        <f t="shared" si="27"/>
        <v>139.60533646650293</v>
      </c>
      <c r="D285" s="28">
        <f t="shared" si="28"/>
        <v>1251.1971893137891</v>
      </c>
      <c r="E285" s="25">
        <f t="shared" si="29"/>
        <v>52789.578217074442</v>
      </c>
      <c r="G285">
        <f t="shared" si="30"/>
        <v>11.66666666666668</v>
      </c>
      <c r="H285" s="11">
        <f t="shared" si="31"/>
        <v>-1390.8025257802919</v>
      </c>
      <c r="I285" s="11">
        <f t="shared" si="25"/>
        <v>-969.16599180623632</v>
      </c>
      <c r="J285" s="7">
        <v>49990</v>
      </c>
    </row>
    <row r="286" spans="1:10" x14ac:dyDescent="0.4">
      <c r="A286" s="13">
        <v>141</v>
      </c>
      <c r="B286" s="28">
        <f t="shared" si="26"/>
        <v>1390.8025257802919</v>
      </c>
      <c r="C286" s="28">
        <f t="shared" si="27"/>
        <v>136.37307706077564</v>
      </c>
      <c r="D286" s="28">
        <f t="shared" si="28"/>
        <v>1254.4294487195164</v>
      </c>
      <c r="E286" s="25">
        <f t="shared" si="29"/>
        <v>51535.148768354928</v>
      </c>
      <c r="G286">
        <f t="shared" si="30"/>
        <v>11.750000000000014</v>
      </c>
      <c r="H286" s="11">
        <f t="shared" si="31"/>
        <v>-1390.8025257802919</v>
      </c>
      <c r="I286" s="11">
        <f t="shared" si="25"/>
        <v>-966.66876416598006</v>
      </c>
      <c r="J286" s="7">
        <v>50020</v>
      </c>
    </row>
    <row r="287" spans="1:10" x14ac:dyDescent="0.4">
      <c r="A287" s="13">
        <v>142</v>
      </c>
      <c r="B287" s="28">
        <f t="shared" si="26"/>
        <v>1390.8025257802919</v>
      </c>
      <c r="C287" s="28">
        <f t="shared" si="27"/>
        <v>133.13246765158357</v>
      </c>
      <c r="D287" s="28">
        <f t="shared" si="28"/>
        <v>1257.6700581287084</v>
      </c>
      <c r="E287" s="25">
        <f t="shared" si="29"/>
        <v>50277.47871022622</v>
      </c>
      <c r="G287">
        <f t="shared" si="30"/>
        <v>11.833333333333348</v>
      </c>
      <c r="H287" s="11">
        <f t="shared" si="31"/>
        <v>-1390.8025257802919</v>
      </c>
      <c r="I287" s="11">
        <f t="shared" si="25"/>
        <v>-964.17797107454214</v>
      </c>
      <c r="J287" s="7">
        <v>50051</v>
      </c>
    </row>
    <row r="288" spans="1:10" x14ac:dyDescent="0.4">
      <c r="A288" s="13">
        <v>143</v>
      </c>
      <c r="B288" s="28">
        <f t="shared" si="26"/>
        <v>1390.8025257802919</v>
      </c>
      <c r="C288" s="28">
        <f t="shared" si="27"/>
        <v>129.8834866680844</v>
      </c>
      <c r="D288" s="28">
        <f t="shared" si="28"/>
        <v>1260.9190391122074</v>
      </c>
      <c r="E288" s="25">
        <f t="shared" si="29"/>
        <v>49016.55967111401</v>
      </c>
      <c r="G288">
        <f t="shared" si="30"/>
        <v>11.916666666666682</v>
      </c>
      <c r="H288" s="11">
        <f t="shared" si="31"/>
        <v>-1390.8025257802919</v>
      </c>
      <c r="I288" s="11">
        <f t="shared" si="25"/>
        <v>-961.69359595216883</v>
      </c>
      <c r="J288" s="7">
        <v>50082</v>
      </c>
    </row>
    <row r="289" spans="1:10" x14ac:dyDescent="0.4">
      <c r="A289" s="13">
        <v>144</v>
      </c>
      <c r="B289" s="28">
        <f t="shared" si="26"/>
        <v>1390.8025257802919</v>
      </c>
      <c r="C289" s="28">
        <f t="shared" si="27"/>
        <v>126.6261124837112</v>
      </c>
      <c r="D289" s="28">
        <f t="shared" si="28"/>
        <v>1264.1764132965807</v>
      </c>
      <c r="E289" s="25">
        <f t="shared" si="29"/>
        <v>47752.383257817426</v>
      </c>
      <c r="G289">
        <f t="shared" si="30"/>
        <v>12.000000000000016</v>
      </c>
      <c r="H289" s="11">
        <f t="shared" si="31"/>
        <v>-1390.8025257802919</v>
      </c>
      <c r="I289" s="11">
        <f t="shared" si="25"/>
        <v>-959.21562226182789</v>
      </c>
      <c r="J289" s="7">
        <v>50110</v>
      </c>
    </row>
    <row r="290" spans="1:10" x14ac:dyDescent="0.4">
      <c r="A290" s="13">
        <v>145</v>
      </c>
      <c r="B290" s="28">
        <f t="shared" si="26"/>
        <v>1390.8025257802919</v>
      </c>
      <c r="C290" s="28">
        <f t="shared" si="27"/>
        <v>123.36032341602835</v>
      </c>
      <c r="D290" s="28">
        <f t="shared" si="28"/>
        <v>1267.4422023642635</v>
      </c>
      <c r="E290" s="25">
        <f t="shared" si="29"/>
        <v>46484.941055453164</v>
      </c>
      <c r="G290">
        <f t="shared" si="30"/>
        <v>12.08333333333335</v>
      </c>
      <c r="H290" s="11">
        <f t="shared" si="31"/>
        <v>-1390.8025257802919</v>
      </c>
      <c r="I290" s="11">
        <f t="shared" si="25"/>
        <v>-956.74403350909665</v>
      </c>
      <c r="J290" s="7">
        <v>50141</v>
      </c>
    </row>
    <row r="291" spans="1:10" x14ac:dyDescent="0.4">
      <c r="A291" s="13">
        <v>146</v>
      </c>
      <c r="B291" s="28">
        <f t="shared" si="26"/>
        <v>1390.8025257802919</v>
      </c>
      <c r="C291" s="28">
        <f t="shared" si="27"/>
        <v>120.08609772658734</v>
      </c>
      <c r="D291" s="28">
        <f t="shared" si="28"/>
        <v>1270.7164280537047</v>
      </c>
      <c r="E291" s="25">
        <f t="shared" si="29"/>
        <v>45214.224627399461</v>
      </c>
      <c r="G291">
        <f t="shared" si="30"/>
        <v>12.166666666666684</v>
      </c>
      <c r="H291" s="11">
        <f t="shared" si="31"/>
        <v>-1390.8025257802919</v>
      </c>
      <c r="I291" s="11">
        <f t="shared" si="25"/>
        <v>-954.27881324205407</v>
      </c>
      <c r="J291" s="7">
        <v>50171</v>
      </c>
    </row>
    <row r="292" spans="1:10" x14ac:dyDescent="0.4">
      <c r="A292" s="13">
        <v>147</v>
      </c>
      <c r="B292" s="28">
        <f t="shared" si="26"/>
        <v>1390.8025257802919</v>
      </c>
      <c r="C292" s="28">
        <f t="shared" si="27"/>
        <v>116.80341362078194</v>
      </c>
      <c r="D292" s="28">
        <f t="shared" si="28"/>
        <v>1273.9991121595101</v>
      </c>
      <c r="E292" s="25">
        <f t="shared" si="29"/>
        <v>43940.225515239952</v>
      </c>
      <c r="G292">
        <f t="shared" si="30"/>
        <v>12.250000000000018</v>
      </c>
      <c r="H292" s="11">
        <f t="shared" si="31"/>
        <v>-1390.8025257802919</v>
      </c>
      <c r="I292" s="11">
        <f t="shared" si="25"/>
        <v>-951.81994505117007</v>
      </c>
      <c r="J292" s="7">
        <v>50202</v>
      </c>
    </row>
    <row r="293" spans="1:10" x14ac:dyDescent="0.4">
      <c r="A293" s="13">
        <v>148</v>
      </c>
      <c r="B293" s="28">
        <f t="shared" si="26"/>
        <v>1390.8025257802919</v>
      </c>
      <c r="C293" s="28">
        <f t="shared" si="27"/>
        <v>113.51224924770321</v>
      </c>
      <c r="D293" s="28">
        <f t="shared" si="28"/>
        <v>1277.2902765325887</v>
      </c>
      <c r="E293" s="25">
        <f t="shared" si="29"/>
        <v>42662.935238707367</v>
      </c>
      <c r="G293">
        <f t="shared" si="30"/>
        <v>12.333333333333352</v>
      </c>
      <c r="H293" s="11">
        <f t="shared" si="31"/>
        <v>-1390.8025257802919</v>
      </c>
      <c r="I293" s="11">
        <f t="shared" si="25"/>
        <v>-949.3674125691964</v>
      </c>
      <c r="J293" s="7">
        <v>50232</v>
      </c>
    </row>
    <row r="294" spans="1:10" x14ac:dyDescent="0.4">
      <c r="A294" s="13">
        <v>149</v>
      </c>
      <c r="B294" s="28">
        <f t="shared" si="26"/>
        <v>1390.8025257802919</v>
      </c>
      <c r="C294" s="28">
        <f t="shared" si="27"/>
        <v>110.21258269999403</v>
      </c>
      <c r="D294" s="28">
        <f t="shared" si="28"/>
        <v>1280.5899430802979</v>
      </c>
      <c r="E294" s="25">
        <f t="shared" si="29"/>
        <v>41382.34529562707</v>
      </c>
      <c r="G294">
        <f t="shared" si="30"/>
        <v>12.416666666666686</v>
      </c>
      <c r="H294" s="11">
        <f t="shared" si="31"/>
        <v>-1390.8025257802919</v>
      </c>
      <c r="I294" s="11">
        <f t="shared" si="25"/>
        <v>-946.92119947105834</v>
      </c>
      <c r="J294" s="7">
        <v>50263</v>
      </c>
    </row>
    <row r="295" spans="1:10" x14ac:dyDescent="0.4">
      <c r="A295" s="13">
        <v>150</v>
      </c>
      <c r="B295" s="28">
        <f t="shared" si="26"/>
        <v>1390.8025257802919</v>
      </c>
      <c r="C295" s="28">
        <f t="shared" si="27"/>
        <v>106.90439201370326</v>
      </c>
      <c r="D295" s="28">
        <f t="shared" si="28"/>
        <v>1283.8981337665887</v>
      </c>
      <c r="E295" s="25">
        <f t="shared" si="29"/>
        <v>40098.44716186048</v>
      </c>
      <c r="G295">
        <f t="shared" si="30"/>
        <v>12.50000000000002</v>
      </c>
      <c r="H295" s="11">
        <f t="shared" si="31"/>
        <v>-1390.8025257802919</v>
      </c>
      <c r="I295" s="11">
        <f t="shared" si="25"/>
        <v>-944.48128947374551</v>
      </c>
      <c r="J295" s="7">
        <v>50294</v>
      </c>
    </row>
    <row r="296" spans="1:10" x14ac:dyDescent="0.4">
      <c r="A296" s="13">
        <v>151</v>
      </c>
      <c r="B296" s="28">
        <f t="shared" si="26"/>
        <v>1390.8025257802919</v>
      </c>
      <c r="C296" s="28">
        <f t="shared" si="27"/>
        <v>103.58765516813958</v>
      </c>
      <c r="D296" s="28">
        <f t="shared" si="28"/>
        <v>1287.2148706121525</v>
      </c>
      <c r="E296" s="25">
        <f t="shared" si="29"/>
        <v>38811.232291248329</v>
      </c>
      <c r="G296">
        <f t="shared" si="30"/>
        <v>12.583333333333353</v>
      </c>
      <c r="H296" s="11">
        <f t="shared" si="31"/>
        <v>-1390.8025257802919</v>
      </c>
      <c r="I296" s="11">
        <f t="shared" si="25"/>
        <v>-942.04766633620329</v>
      </c>
      <c r="J296" s="7">
        <v>50324</v>
      </c>
    </row>
    <row r="297" spans="1:10" x14ac:dyDescent="0.4">
      <c r="A297" s="13">
        <v>152</v>
      </c>
      <c r="B297" s="28">
        <f t="shared" si="26"/>
        <v>1390.8025257802919</v>
      </c>
      <c r="C297" s="28">
        <f t="shared" si="27"/>
        <v>100.26235008572485</v>
      </c>
      <c r="D297" s="28">
        <f t="shared" si="28"/>
        <v>1290.5401756945671</v>
      </c>
      <c r="E297" s="25">
        <f t="shared" si="29"/>
        <v>37520.692115553764</v>
      </c>
      <c r="G297">
        <f t="shared" si="30"/>
        <v>12.666666666666687</v>
      </c>
      <c r="H297" s="11">
        <f t="shared" si="31"/>
        <v>-1390.8025257802919</v>
      </c>
      <c r="I297" s="11">
        <f t="shared" si="25"/>
        <v>-939.62031385922535</v>
      </c>
      <c r="J297" s="7">
        <v>50355</v>
      </c>
    </row>
    <row r="298" spans="1:10" x14ac:dyDescent="0.4">
      <c r="A298" s="13">
        <v>153</v>
      </c>
      <c r="B298" s="28">
        <f t="shared" si="26"/>
        <v>1390.8025257802919</v>
      </c>
      <c r="C298" s="28">
        <f t="shared" si="27"/>
        <v>96.928454631847217</v>
      </c>
      <c r="D298" s="28">
        <f t="shared" si="28"/>
        <v>1293.8740711484447</v>
      </c>
      <c r="E298" s="25">
        <f t="shared" si="29"/>
        <v>36226.818044405321</v>
      </c>
      <c r="G298">
        <f t="shared" si="30"/>
        <v>12.750000000000021</v>
      </c>
      <c r="H298" s="11">
        <f t="shared" si="31"/>
        <v>-1390.8025257802919</v>
      </c>
      <c r="I298" s="11">
        <f t="shared" si="25"/>
        <v>-937.19921588534532</v>
      </c>
      <c r="J298" s="7">
        <v>50385</v>
      </c>
    </row>
    <row r="299" spans="1:10" x14ac:dyDescent="0.4">
      <c r="A299" s="13">
        <v>154</v>
      </c>
      <c r="B299" s="28">
        <f t="shared" si="26"/>
        <v>1390.8025257802919</v>
      </c>
      <c r="C299" s="28">
        <f t="shared" si="27"/>
        <v>93.585946614713748</v>
      </c>
      <c r="D299" s="28">
        <f t="shared" si="28"/>
        <v>1297.2165791655782</v>
      </c>
      <c r="E299" s="25">
        <f t="shared" si="29"/>
        <v>34929.601465239743</v>
      </c>
      <c r="G299">
        <f t="shared" si="30"/>
        <v>12.833333333333355</v>
      </c>
      <c r="H299" s="11">
        <f t="shared" si="31"/>
        <v>-1390.8025257802919</v>
      </c>
      <c r="I299" s="11">
        <f t="shared" si="25"/>
        <v>-934.78435629872945</v>
      </c>
      <c r="J299" s="7">
        <v>50416</v>
      </c>
    </row>
    <row r="300" spans="1:10" x14ac:dyDescent="0.4">
      <c r="A300" s="13">
        <v>155</v>
      </c>
      <c r="B300" s="28">
        <f t="shared" si="26"/>
        <v>1390.8025257802919</v>
      </c>
      <c r="C300" s="28">
        <f t="shared" si="27"/>
        <v>90.234803785202672</v>
      </c>
      <c r="D300" s="28">
        <f t="shared" si="28"/>
        <v>1300.5677219950892</v>
      </c>
      <c r="E300" s="25">
        <f t="shared" si="29"/>
        <v>33629.033743244654</v>
      </c>
      <c r="G300">
        <f t="shared" si="30"/>
        <v>12.916666666666689</v>
      </c>
      <c r="H300" s="11">
        <f t="shared" si="31"/>
        <v>-1390.8025257802919</v>
      </c>
      <c r="I300" s="11">
        <f t="shared" si="25"/>
        <v>-932.37571902506932</v>
      </c>
      <c r="J300" s="7">
        <v>50447</v>
      </c>
    </row>
    <row r="301" spans="1:10" x14ac:dyDescent="0.4">
      <c r="A301" s="13">
        <v>156</v>
      </c>
      <c r="B301" s="28">
        <f t="shared" si="26"/>
        <v>1390.8025257802919</v>
      </c>
      <c r="C301" s="28">
        <f t="shared" si="27"/>
        <v>86.875003836715351</v>
      </c>
      <c r="D301" s="28">
        <f t="shared" si="28"/>
        <v>1303.9275219435765</v>
      </c>
      <c r="E301" s="25">
        <f t="shared" si="29"/>
        <v>32325.106221301077</v>
      </c>
      <c r="G301">
        <f t="shared" si="30"/>
        <v>13.000000000000023</v>
      </c>
      <c r="H301" s="11">
        <f t="shared" si="31"/>
        <v>-1390.8025257802919</v>
      </c>
      <c r="I301" s="11">
        <f t="shared" si="25"/>
        <v>-929.97328803147468</v>
      </c>
      <c r="J301" s="7">
        <v>50475</v>
      </c>
    </row>
    <row r="302" spans="1:10" x14ac:dyDescent="0.4">
      <c r="A302" s="13">
        <v>157</v>
      </c>
      <c r="B302" s="28">
        <f t="shared" si="26"/>
        <v>1390.8025257802919</v>
      </c>
      <c r="C302" s="28">
        <f t="shared" si="27"/>
        <v>83.506524405027776</v>
      </c>
      <c r="D302" s="28">
        <f t="shared" si="28"/>
        <v>1307.2960013752643</v>
      </c>
      <c r="E302" s="25">
        <f t="shared" si="29"/>
        <v>31017.810219925814</v>
      </c>
      <c r="G302">
        <f t="shared" si="30"/>
        <v>13.083333333333357</v>
      </c>
      <c r="H302" s="11">
        <f t="shared" si="31"/>
        <v>-1390.8025257802919</v>
      </c>
      <c r="I302" s="11">
        <f t="shared" si="25"/>
        <v>-927.57704732636694</v>
      </c>
      <c r="J302" s="7">
        <v>50506</v>
      </c>
    </row>
    <row r="303" spans="1:10" x14ac:dyDescent="0.4">
      <c r="A303" s="13">
        <v>158</v>
      </c>
      <c r="B303" s="28">
        <f t="shared" si="26"/>
        <v>1390.8025257802919</v>
      </c>
      <c r="C303" s="28">
        <f t="shared" si="27"/>
        <v>80.129343068141679</v>
      </c>
      <c r="D303" s="28">
        <f t="shared" si="28"/>
        <v>1310.6731827121503</v>
      </c>
      <c r="E303" s="25">
        <f t="shared" si="29"/>
        <v>29707.137037213663</v>
      </c>
      <c r="G303">
        <f t="shared" si="30"/>
        <v>13.166666666666691</v>
      </c>
      <c r="H303" s="11">
        <f t="shared" si="31"/>
        <v>-1390.8025257802919</v>
      </c>
      <c r="I303" s="11">
        <f t="shared" si="25"/>
        <v>-925.1869809593727</v>
      </c>
      <c r="J303" s="7">
        <v>50536</v>
      </c>
    </row>
    <row r="304" spans="1:10" x14ac:dyDescent="0.4">
      <c r="A304" s="13">
        <v>159</v>
      </c>
      <c r="B304" s="28">
        <f t="shared" si="26"/>
        <v>1390.8025257802919</v>
      </c>
      <c r="C304" s="28">
        <f t="shared" si="27"/>
        <v>76.743437346135295</v>
      </c>
      <c r="D304" s="28">
        <f t="shared" si="28"/>
        <v>1314.0590884341566</v>
      </c>
      <c r="E304" s="25">
        <f t="shared" si="29"/>
        <v>28393.077948779504</v>
      </c>
      <c r="G304">
        <f t="shared" si="30"/>
        <v>13.250000000000025</v>
      </c>
      <c r="H304" s="11">
        <f t="shared" si="31"/>
        <v>-1390.8025257802919</v>
      </c>
      <c r="I304" s="11">
        <f t="shared" si="25"/>
        <v>-922.80307302121753</v>
      </c>
      <c r="J304" s="7">
        <v>50567</v>
      </c>
    </row>
    <row r="305" spans="1:10" x14ac:dyDescent="0.4">
      <c r="A305" s="13">
        <v>160</v>
      </c>
      <c r="B305" s="28">
        <f t="shared" si="26"/>
        <v>1390.8025257802919</v>
      </c>
      <c r="C305" s="28">
        <f t="shared" si="27"/>
        <v>73.348784701013713</v>
      </c>
      <c r="D305" s="28">
        <f t="shared" si="28"/>
        <v>1317.4537410792782</v>
      </c>
      <c r="E305" s="25">
        <f t="shared" si="29"/>
        <v>27075.624207700224</v>
      </c>
      <c r="G305">
        <f t="shared" si="30"/>
        <v>13.333333333333359</v>
      </c>
      <c r="H305" s="11">
        <f t="shared" si="31"/>
        <v>-1390.8025257802919</v>
      </c>
      <c r="I305" s="11">
        <f t="shared" si="25"/>
        <v>-920.42530764361982</v>
      </c>
      <c r="J305" s="7">
        <v>50597</v>
      </c>
    </row>
    <row r="306" spans="1:10" x14ac:dyDescent="0.4">
      <c r="A306" s="13">
        <v>161</v>
      </c>
      <c r="B306" s="28">
        <f t="shared" si="26"/>
        <v>1390.8025257802919</v>
      </c>
      <c r="C306" s="28">
        <f t="shared" si="27"/>
        <v>69.945362536558918</v>
      </c>
      <c r="D306" s="28">
        <f t="shared" si="28"/>
        <v>1320.8571632437331</v>
      </c>
      <c r="E306" s="25">
        <f t="shared" si="29"/>
        <v>25754.76704445649</v>
      </c>
      <c r="G306">
        <f t="shared" si="30"/>
        <v>13.416666666666693</v>
      </c>
      <c r="H306" s="11">
        <f t="shared" si="31"/>
        <v>-1390.8025257802919</v>
      </c>
      <c r="I306" s="11">
        <f t="shared" si="25"/>
        <v>-918.05366899918579</v>
      </c>
      <c r="J306" s="7">
        <v>50628</v>
      </c>
    </row>
    <row r="307" spans="1:10" x14ac:dyDescent="0.4">
      <c r="A307" s="13">
        <v>162</v>
      </c>
      <c r="B307" s="28">
        <f t="shared" si="26"/>
        <v>1390.8025257802919</v>
      </c>
      <c r="C307" s="28">
        <f t="shared" si="27"/>
        <v>66.533148198179262</v>
      </c>
      <c r="D307" s="28">
        <f t="shared" si="28"/>
        <v>1324.2693775821126</v>
      </c>
      <c r="E307" s="25">
        <f t="shared" si="29"/>
        <v>24430.497666874377</v>
      </c>
      <c r="G307">
        <f t="shared" si="30"/>
        <v>13.500000000000027</v>
      </c>
      <c r="H307" s="11">
        <f t="shared" si="31"/>
        <v>-1390.8025257802919</v>
      </c>
      <c r="I307" s="11">
        <f t="shared" si="25"/>
        <v>-915.68814130130318</v>
      </c>
      <c r="J307" s="7">
        <v>50659</v>
      </c>
    </row>
    <row r="308" spans="1:10" x14ac:dyDescent="0.4">
      <c r="A308" s="13">
        <v>163</v>
      </c>
      <c r="B308" s="28">
        <f t="shared" si="26"/>
        <v>1390.8025257802919</v>
      </c>
      <c r="C308" s="28">
        <f t="shared" si="27"/>
        <v>63.112118972758807</v>
      </c>
      <c r="D308" s="28">
        <f t="shared" si="28"/>
        <v>1327.6904068075332</v>
      </c>
      <c r="E308" s="25">
        <f t="shared" si="29"/>
        <v>23102.807260066842</v>
      </c>
      <c r="G308">
        <f t="shared" si="30"/>
        <v>13.583333333333361</v>
      </c>
      <c r="H308" s="11">
        <f t="shared" si="31"/>
        <v>-1390.8025257802919</v>
      </c>
      <c r="I308" s="11">
        <f t="shared" si="25"/>
        <v>-913.32870880403743</v>
      </c>
      <c r="J308" s="7">
        <v>50689</v>
      </c>
    </row>
    <row r="309" spans="1:10" x14ac:dyDescent="0.4">
      <c r="A309" s="13">
        <v>164</v>
      </c>
      <c r="B309" s="28">
        <f t="shared" si="26"/>
        <v>1390.8025257802919</v>
      </c>
      <c r="C309" s="28">
        <f t="shared" si="27"/>
        <v>59.682252088506011</v>
      </c>
      <c r="D309" s="28">
        <f t="shared" si="28"/>
        <v>1331.120273691786</v>
      </c>
      <c r="E309" s="25">
        <f t="shared" si="29"/>
        <v>21771.686986375054</v>
      </c>
      <c r="G309">
        <f t="shared" si="30"/>
        <v>13.666666666666694</v>
      </c>
      <c r="H309" s="11">
        <f t="shared" si="31"/>
        <v>-1390.8025257802919</v>
      </c>
      <c r="I309" s="11">
        <f t="shared" si="25"/>
        <v>-910.97535580202555</v>
      </c>
      <c r="J309" s="7">
        <v>50720</v>
      </c>
    </row>
    <row r="310" spans="1:10" x14ac:dyDescent="0.4">
      <c r="A310" s="13">
        <v>165</v>
      </c>
      <c r="B310" s="28">
        <f t="shared" si="26"/>
        <v>1390.8025257802919</v>
      </c>
      <c r="C310" s="28">
        <f t="shared" si="27"/>
        <v>56.24352471480222</v>
      </c>
      <c r="D310" s="28">
        <f t="shared" si="28"/>
        <v>1334.5590010654896</v>
      </c>
      <c r="E310" s="25">
        <f t="shared" si="29"/>
        <v>20437.127985309566</v>
      </c>
      <c r="G310">
        <f t="shared" si="30"/>
        <v>13.750000000000028</v>
      </c>
      <c r="H310" s="11">
        <f t="shared" si="31"/>
        <v>-1390.8025257802919</v>
      </c>
      <c r="I310" s="11">
        <f t="shared" si="25"/>
        <v>-908.6280666303727</v>
      </c>
      <c r="J310" s="7">
        <v>50750</v>
      </c>
    </row>
    <row r="311" spans="1:10" x14ac:dyDescent="0.4">
      <c r="A311" s="13">
        <v>166</v>
      </c>
      <c r="B311" s="28">
        <f t="shared" si="26"/>
        <v>1390.8025257802919</v>
      </c>
      <c r="C311" s="28">
        <f t="shared" si="27"/>
        <v>52.79591396204971</v>
      </c>
      <c r="D311" s="28">
        <f t="shared" si="28"/>
        <v>1338.0066118182422</v>
      </c>
      <c r="E311" s="25">
        <f t="shared" si="29"/>
        <v>19099.121373491325</v>
      </c>
      <c r="G311">
        <f t="shared" si="30"/>
        <v>13.833333333333362</v>
      </c>
      <c r="H311" s="11">
        <f t="shared" si="31"/>
        <v>-1390.8025257802919</v>
      </c>
      <c r="I311" s="11">
        <f t="shared" si="25"/>
        <v>-906.28682566454677</v>
      </c>
      <c r="J311" s="7">
        <v>50781</v>
      </c>
    </row>
    <row r="312" spans="1:10" x14ac:dyDescent="0.4">
      <c r="A312" s="13">
        <v>167</v>
      </c>
      <c r="B312" s="28">
        <f t="shared" si="26"/>
        <v>1390.8025257802919</v>
      </c>
      <c r="C312" s="28">
        <f t="shared" si="27"/>
        <v>49.339396881519257</v>
      </c>
      <c r="D312" s="28">
        <f t="shared" si="28"/>
        <v>1341.4631288987728</v>
      </c>
      <c r="E312" s="25">
        <f t="shared" si="29"/>
        <v>17757.658244592552</v>
      </c>
      <c r="G312">
        <f t="shared" si="30"/>
        <v>13.916666666666696</v>
      </c>
      <c r="H312" s="11">
        <f t="shared" si="31"/>
        <v>-1390.8025257802919</v>
      </c>
      <c r="I312" s="11">
        <f t="shared" si="25"/>
        <v>-903.95161732027589</v>
      </c>
      <c r="J312" s="7">
        <v>50812</v>
      </c>
    </row>
    <row r="313" spans="1:10" x14ac:dyDescent="0.4">
      <c r="A313" s="13">
        <v>168</v>
      </c>
      <c r="B313" s="28">
        <f t="shared" si="26"/>
        <v>1390.8025257802919</v>
      </c>
      <c r="C313" s="28">
        <f t="shared" si="27"/>
        <v>45.873950465197424</v>
      </c>
      <c r="D313" s="28">
        <f t="shared" si="28"/>
        <v>1344.9285753150946</v>
      </c>
      <c r="E313" s="25">
        <f t="shared" si="29"/>
        <v>16412.729669277458</v>
      </c>
      <c r="G313">
        <f t="shared" si="30"/>
        <v>14.00000000000003</v>
      </c>
      <c r="H313" s="11">
        <f t="shared" si="31"/>
        <v>-1390.8025257802919</v>
      </c>
      <c r="I313" s="11">
        <f t="shared" si="25"/>
        <v>-901.62242605344295</v>
      </c>
      <c r="J313" s="7">
        <v>50840</v>
      </c>
    </row>
    <row r="314" spans="1:10" x14ac:dyDescent="0.4">
      <c r="A314" s="13">
        <v>169</v>
      </c>
      <c r="B314" s="28">
        <f t="shared" si="26"/>
        <v>1390.8025257802919</v>
      </c>
      <c r="C314" s="28">
        <f t="shared" si="27"/>
        <v>42.39955164563343</v>
      </c>
      <c r="D314" s="28">
        <f t="shared" si="28"/>
        <v>1348.4029741346585</v>
      </c>
      <c r="E314" s="25">
        <f t="shared" si="29"/>
        <v>15064.3266951428</v>
      </c>
      <c r="G314">
        <f t="shared" si="30"/>
        <v>14.083333333333364</v>
      </c>
      <c r="H314" s="11">
        <f t="shared" si="31"/>
        <v>-1390.8025257802919</v>
      </c>
      <c r="I314" s="11">
        <f t="shared" si="25"/>
        <v>-899.29923635998364</v>
      </c>
      <c r="J314" s="7">
        <v>50871</v>
      </c>
    </row>
    <row r="315" spans="1:10" x14ac:dyDescent="0.4">
      <c r="A315" s="13">
        <v>170</v>
      </c>
      <c r="B315" s="28">
        <f t="shared" si="26"/>
        <v>1390.8025257802919</v>
      </c>
      <c r="C315" s="28">
        <f t="shared" si="27"/>
        <v>38.916177295785566</v>
      </c>
      <c r="D315" s="28">
        <f t="shared" si="28"/>
        <v>1351.8863484845065</v>
      </c>
      <c r="E315" s="25">
        <f t="shared" si="29"/>
        <v>13712.440346658293</v>
      </c>
      <c r="G315">
        <f t="shared" si="30"/>
        <v>14.166666666666698</v>
      </c>
      <c r="H315" s="11">
        <f t="shared" si="31"/>
        <v>-1390.8025257802919</v>
      </c>
      <c r="I315" s="11">
        <f t="shared" si="25"/>
        <v>-896.98203277578227</v>
      </c>
      <c r="J315" s="7">
        <v>50901</v>
      </c>
    </row>
    <row r="316" spans="1:10" x14ac:dyDescent="0.4">
      <c r="A316" s="13">
        <v>171</v>
      </c>
      <c r="B316" s="28">
        <f t="shared" si="26"/>
        <v>1390.8025257802919</v>
      </c>
      <c r="C316" s="28">
        <f t="shared" si="27"/>
        <v>35.423804228867255</v>
      </c>
      <c r="D316" s="28">
        <f t="shared" si="28"/>
        <v>1355.3787215514246</v>
      </c>
      <c r="E316" s="25">
        <f t="shared" si="29"/>
        <v>12357.06162510687</v>
      </c>
      <c r="G316">
        <f t="shared" si="30"/>
        <v>14.250000000000032</v>
      </c>
      <c r="H316" s="11">
        <f t="shared" si="31"/>
        <v>-1390.8025257802919</v>
      </c>
      <c r="I316" s="11">
        <f t="shared" si="25"/>
        <v>-894.67079987656939</v>
      </c>
      <c r="J316" s="7">
        <v>50932</v>
      </c>
    </row>
    <row r="317" spans="1:10" x14ac:dyDescent="0.4">
      <c r="A317" s="13">
        <v>172</v>
      </c>
      <c r="B317" s="28">
        <f t="shared" si="26"/>
        <v>1390.8025257802919</v>
      </c>
      <c r="C317" s="28">
        <f t="shared" si="27"/>
        <v>31.922409198192746</v>
      </c>
      <c r="D317" s="28">
        <f t="shared" si="28"/>
        <v>1358.8801165820992</v>
      </c>
      <c r="E317" s="25">
        <f t="shared" si="29"/>
        <v>10998.181508524771</v>
      </c>
      <c r="G317">
        <f t="shared" si="30"/>
        <v>14.333333333333366</v>
      </c>
      <c r="H317" s="11">
        <f t="shared" si="31"/>
        <v>-1390.8025257802919</v>
      </c>
      <c r="I317" s="11">
        <f t="shared" si="25"/>
        <v>-892.36552227781863</v>
      </c>
      <c r="J317" s="7">
        <v>50962</v>
      </c>
    </row>
    <row r="318" spans="1:10" x14ac:dyDescent="0.4">
      <c r="A318" s="13">
        <v>173</v>
      </c>
      <c r="B318" s="28">
        <f t="shared" si="26"/>
        <v>1390.8025257802919</v>
      </c>
      <c r="C318" s="28">
        <f t="shared" si="27"/>
        <v>28.411968897022323</v>
      </c>
      <c r="D318" s="28">
        <f t="shared" si="28"/>
        <v>1362.3905568832697</v>
      </c>
      <c r="E318" s="25">
        <f t="shared" si="29"/>
        <v>9635.790951641502</v>
      </c>
      <c r="G318">
        <f t="shared" si="30"/>
        <v>14.4166666666667</v>
      </c>
      <c r="H318" s="11">
        <f t="shared" si="31"/>
        <v>-1390.8025257802919</v>
      </c>
      <c r="I318" s="11">
        <f t="shared" si="25"/>
        <v>-890.06618463464497</v>
      </c>
      <c r="J318" s="7">
        <v>50993</v>
      </c>
    </row>
    <row r="319" spans="1:10" x14ac:dyDescent="0.4">
      <c r="A319" s="13">
        <v>174</v>
      </c>
      <c r="B319" s="28">
        <f t="shared" si="26"/>
        <v>1390.8025257802919</v>
      </c>
      <c r="C319" s="28">
        <f t="shared" si="27"/>
        <v>24.892459958407212</v>
      </c>
      <c r="D319" s="28">
        <f t="shared" si="28"/>
        <v>1365.9100658218847</v>
      </c>
      <c r="E319" s="25">
        <f t="shared" si="29"/>
        <v>8269.8808858196171</v>
      </c>
      <c r="G319">
        <f t="shared" si="30"/>
        <v>14.500000000000034</v>
      </c>
      <c r="H319" s="11">
        <f t="shared" si="31"/>
        <v>-1390.8025257802919</v>
      </c>
      <c r="I319" s="11">
        <f t="shared" si="25"/>
        <v>-887.77277164170175</v>
      </c>
      <c r="J319" s="7">
        <v>51024</v>
      </c>
    </row>
    <row r="320" spans="1:10" x14ac:dyDescent="0.4">
      <c r="A320" s="13">
        <v>175</v>
      </c>
      <c r="B320" s="28">
        <f t="shared" si="26"/>
        <v>1390.8025257802919</v>
      </c>
      <c r="C320" s="28">
        <f t="shared" si="27"/>
        <v>21.363858955034011</v>
      </c>
      <c r="D320" s="28">
        <f t="shared" si="28"/>
        <v>1369.438666825258</v>
      </c>
      <c r="E320" s="25">
        <f t="shared" si="29"/>
        <v>6900.4422189943589</v>
      </c>
      <c r="G320">
        <f t="shared" si="30"/>
        <v>14.583333333333368</v>
      </c>
      <c r="H320" s="11">
        <f t="shared" si="31"/>
        <v>-1390.8025257802919</v>
      </c>
      <c r="I320" s="11">
        <f t="shared" si="25"/>
        <v>-885.48526803307971</v>
      </c>
      <c r="J320" s="7">
        <v>51054</v>
      </c>
    </row>
    <row r="321" spans="1:10" x14ac:dyDescent="0.4">
      <c r="A321" s="13">
        <v>176</v>
      </c>
      <c r="B321" s="28">
        <f t="shared" si="26"/>
        <v>1390.8025257802919</v>
      </c>
      <c r="C321" s="28">
        <f t="shared" si="27"/>
        <v>17.826142399068761</v>
      </c>
      <c r="D321" s="28">
        <f t="shared" si="28"/>
        <v>1372.9763833812233</v>
      </c>
      <c r="E321" s="25">
        <f t="shared" si="29"/>
        <v>5527.4658356131358</v>
      </c>
      <c r="G321">
        <f t="shared" si="30"/>
        <v>14.666666666666702</v>
      </c>
      <c r="H321" s="11">
        <f t="shared" si="31"/>
        <v>-1390.8025257802919</v>
      </c>
      <c r="I321" s="11">
        <f t="shared" si="25"/>
        <v>-883.20365858220464</v>
      </c>
      <c r="J321" s="7">
        <v>51085</v>
      </c>
    </row>
    <row r="322" spans="1:10" x14ac:dyDescent="0.4">
      <c r="A322" s="13">
        <v>177</v>
      </c>
      <c r="B322" s="28">
        <f t="shared" si="26"/>
        <v>1390.8025257802919</v>
      </c>
      <c r="C322" s="28">
        <f t="shared" si="27"/>
        <v>14.2792867420006</v>
      </c>
      <c r="D322" s="28">
        <f t="shared" si="28"/>
        <v>1376.5232390382914</v>
      </c>
      <c r="E322" s="25">
        <f t="shared" si="29"/>
        <v>4150.9425965748442</v>
      </c>
      <c r="G322">
        <f t="shared" si="30"/>
        <v>14.750000000000036</v>
      </c>
      <c r="H322" s="11">
        <f t="shared" si="31"/>
        <v>-1390.8025257802919</v>
      </c>
      <c r="I322" s="11">
        <f t="shared" si="25"/>
        <v>-880.92792810173603</v>
      </c>
      <c r="J322" s="7">
        <v>51115</v>
      </c>
    </row>
    <row r="323" spans="1:10" x14ac:dyDescent="0.4">
      <c r="A323" s="13">
        <v>178</v>
      </c>
      <c r="B323" s="28">
        <f t="shared" si="26"/>
        <v>1390.8025257802919</v>
      </c>
      <c r="C323" s="28">
        <f t="shared" si="27"/>
        <v>10.723268374485015</v>
      </c>
      <c r="D323" s="28">
        <f t="shared" si="28"/>
        <v>1380.0792574058069</v>
      </c>
      <c r="E323" s="25">
        <f t="shared" si="29"/>
        <v>2770.8633391690373</v>
      </c>
      <c r="G323">
        <f t="shared" si="30"/>
        <v>14.833333333333369</v>
      </c>
      <c r="H323" s="11">
        <f t="shared" si="31"/>
        <v>-1390.8025257802919</v>
      </c>
      <c r="I323" s="11">
        <f t="shared" si="25"/>
        <v>-878.65806144346686</v>
      </c>
      <c r="J323" s="7">
        <v>51146</v>
      </c>
    </row>
    <row r="324" spans="1:10" x14ac:dyDescent="0.4">
      <c r="A324" s="13">
        <v>179</v>
      </c>
      <c r="B324" s="28">
        <f t="shared" si="26"/>
        <v>1390.8025257802919</v>
      </c>
      <c r="C324" s="28">
        <f t="shared" si="27"/>
        <v>7.1580636261866797</v>
      </c>
      <c r="D324" s="28">
        <f t="shared" si="28"/>
        <v>1383.6444621541052</v>
      </c>
      <c r="E324" s="25">
        <f t="shared" si="29"/>
        <v>1387.2188770149321</v>
      </c>
      <c r="G324">
        <f t="shared" si="30"/>
        <v>14.916666666666703</v>
      </c>
      <c r="H324" s="11">
        <f t="shared" si="31"/>
        <v>-1390.8025257802919</v>
      </c>
      <c r="I324" s="11">
        <f t="shared" si="25"/>
        <v>-876.39404349822189</v>
      </c>
      <c r="J324" s="7">
        <v>51177</v>
      </c>
    </row>
    <row r="325" spans="1:10" x14ac:dyDescent="0.4">
      <c r="A325" s="13">
        <v>180</v>
      </c>
      <c r="B325" s="28">
        <f t="shared" si="26"/>
        <v>1390.8025257802919</v>
      </c>
      <c r="C325" s="28">
        <f t="shared" si="27"/>
        <v>3.5836487656219078</v>
      </c>
      <c r="D325" s="28">
        <f t="shared" si="28"/>
        <v>1387.2188770146699</v>
      </c>
      <c r="E325" s="25">
        <f t="shared" si="29"/>
        <v>2.6216184778604656E-10</v>
      </c>
      <c r="G325">
        <f t="shared" si="30"/>
        <v>15.000000000000037</v>
      </c>
      <c r="H325" s="11">
        <f t="shared" si="31"/>
        <v>-1390.8025257802919</v>
      </c>
      <c r="I325" s="11">
        <f t="shared" si="25"/>
        <v>-874.13585919575701</v>
      </c>
      <c r="J325" s="7">
        <v>51206</v>
      </c>
    </row>
    <row r="326" spans="1:10" x14ac:dyDescent="0.4">
      <c r="A326" s="13"/>
    </row>
    <row r="327" spans="1:10" x14ac:dyDescent="0.4">
      <c r="A327" s="13" t="s">
        <v>28</v>
      </c>
      <c r="B327" s="9">
        <f>SUM(B146:B325)</f>
        <v>250344.4546404517</v>
      </c>
      <c r="C327" s="9">
        <f>SUM(C146:C325)</f>
        <v>50344.454640452706</v>
      </c>
      <c r="D327" s="9">
        <f>SUM(D146:D325)</f>
        <v>199999.99999999983</v>
      </c>
    </row>
    <row r="328" spans="1:10" x14ac:dyDescent="0.4">
      <c r="A328" s="13"/>
    </row>
    <row r="329" spans="1:10" x14ac:dyDescent="0.4">
      <c r="A329" s="13"/>
    </row>
    <row r="330" spans="1:10" x14ac:dyDescent="0.4">
      <c r="A330" s="13"/>
    </row>
    <row r="331" spans="1:10" x14ac:dyDescent="0.4">
      <c r="A331" s="30" t="s">
        <v>68</v>
      </c>
    </row>
    <row r="332" spans="1:10" x14ac:dyDescent="0.4">
      <c r="A332" s="30" t="s">
        <v>69</v>
      </c>
    </row>
    <row r="333" spans="1:10" x14ac:dyDescent="0.4">
      <c r="A333" s="30" t="s">
        <v>70</v>
      </c>
    </row>
    <row r="334" spans="1:10" x14ac:dyDescent="0.4">
      <c r="A334" s="13"/>
    </row>
    <row r="335" spans="1:10" x14ac:dyDescent="0.4">
      <c r="A335" s="13" t="s">
        <v>8</v>
      </c>
      <c r="B335" s="9">
        <v>5000000</v>
      </c>
    </row>
    <row r="336" spans="1:10" x14ac:dyDescent="0.4">
      <c r="A336" s="13" t="s">
        <v>15</v>
      </c>
      <c r="B336" s="1">
        <v>0.04</v>
      </c>
    </row>
    <row r="337" spans="1:7" x14ac:dyDescent="0.4">
      <c r="A337" s="13" t="s">
        <v>24</v>
      </c>
      <c r="B337">
        <v>5</v>
      </c>
    </row>
    <row r="338" spans="1:7" x14ac:dyDescent="0.4">
      <c r="A338" s="13"/>
      <c r="G338" s="14" t="s">
        <v>36</v>
      </c>
    </row>
    <row r="339" spans="1:7" x14ac:dyDescent="0.4">
      <c r="A339" s="13"/>
      <c r="G339" s="22">
        <f>IRR(G341:G346)</f>
        <v>4.0000000000000924E-2</v>
      </c>
    </row>
    <row r="340" spans="1:7" x14ac:dyDescent="0.4">
      <c r="A340" s="13"/>
      <c r="B340" s="13"/>
      <c r="C340" s="13"/>
      <c r="D340" s="13"/>
      <c r="E340" s="14" t="s">
        <v>58</v>
      </c>
      <c r="G340" s="13"/>
    </row>
    <row r="341" spans="1:7" x14ac:dyDescent="0.4">
      <c r="A341" s="14" t="s">
        <v>55</v>
      </c>
      <c r="B341" s="14" t="s">
        <v>56</v>
      </c>
      <c r="C341" s="14" t="s">
        <v>57</v>
      </c>
      <c r="D341" s="14" t="s">
        <v>8</v>
      </c>
      <c r="E341" s="25">
        <f>B335</f>
        <v>5000000</v>
      </c>
      <c r="G341" s="25">
        <f>B335</f>
        <v>5000000</v>
      </c>
    </row>
    <row r="342" spans="1:7" x14ac:dyDescent="0.4">
      <c r="A342" s="13">
        <v>1</v>
      </c>
      <c r="B342" s="25">
        <f>C342+D342</f>
        <v>1200000</v>
      </c>
      <c r="C342" s="25">
        <f>E341*$B$336</f>
        <v>200000</v>
      </c>
      <c r="D342" s="25">
        <f>$B$335/5</f>
        <v>1000000</v>
      </c>
      <c r="E342" s="25">
        <f>E341-D342</f>
        <v>4000000</v>
      </c>
      <c r="G342" s="25">
        <f>-B342</f>
        <v>-1200000</v>
      </c>
    </row>
    <row r="343" spans="1:7" x14ac:dyDescent="0.4">
      <c r="A343" s="13">
        <v>2</v>
      </c>
      <c r="B343" s="25">
        <f t="shared" ref="B343:B346" si="32">C343+D343</f>
        <v>1160000</v>
      </c>
      <c r="C343" s="25">
        <f t="shared" ref="C343:C346" si="33">E342*$B$336</f>
        <v>160000</v>
      </c>
      <c r="D343" s="25">
        <f t="shared" ref="D343:D346" si="34">$B$335/5</f>
        <v>1000000</v>
      </c>
      <c r="E343" s="25">
        <f t="shared" ref="E343:E346" si="35">E342-D343</f>
        <v>3000000</v>
      </c>
      <c r="G343" s="25">
        <f t="shared" ref="G343:G346" si="36">-B343</f>
        <v>-1160000</v>
      </c>
    </row>
    <row r="344" spans="1:7" x14ac:dyDescent="0.4">
      <c r="A344" s="13">
        <v>3</v>
      </c>
      <c r="B344" s="25">
        <f t="shared" si="32"/>
        <v>1120000</v>
      </c>
      <c r="C344" s="25">
        <f t="shared" si="33"/>
        <v>120000</v>
      </c>
      <c r="D344" s="25">
        <f t="shared" si="34"/>
        <v>1000000</v>
      </c>
      <c r="E344" s="25">
        <f t="shared" si="35"/>
        <v>2000000</v>
      </c>
      <c r="G344" s="25">
        <f t="shared" si="36"/>
        <v>-1120000</v>
      </c>
    </row>
    <row r="345" spans="1:7" x14ac:dyDescent="0.4">
      <c r="A345" s="13">
        <v>4</v>
      </c>
      <c r="B345" s="25">
        <f t="shared" si="32"/>
        <v>1080000</v>
      </c>
      <c r="C345" s="25">
        <f t="shared" si="33"/>
        <v>80000</v>
      </c>
      <c r="D345" s="25">
        <f t="shared" si="34"/>
        <v>1000000</v>
      </c>
      <c r="E345" s="25">
        <f t="shared" si="35"/>
        <v>1000000</v>
      </c>
      <c r="G345" s="25">
        <f t="shared" si="36"/>
        <v>-1080000</v>
      </c>
    </row>
    <row r="346" spans="1:7" x14ac:dyDescent="0.4">
      <c r="A346" s="13">
        <v>5</v>
      </c>
      <c r="B346" s="25">
        <f t="shared" si="32"/>
        <v>1040000</v>
      </c>
      <c r="C346" s="25">
        <f t="shared" si="33"/>
        <v>40000</v>
      </c>
      <c r="D346" s="25">
        <f t="shared" si="34"/>
        <v>1000000</v>
      </c>
      <c r="E346" s="25">
        <f t="shared" si="35"/>
        <v>0</v>
      </c>
      <c r="G346" s="25">
        <f t="shared" si="36"/>
        <v>-1040000</v>
      </c>
    </row>
    <row r="347" spans="1:7" x14ac:dyDescent="0.4">
      <c r="A347" s="13"/>
    </row>
    <row r="348" spans="1:7" x14ac:dyDescent="0.4">
      <c r="A348" s="13"/>
    </row>
    <row r="349" spans="1:7" x14ac:dyDescent="0.4">
      <c r="A349" s="13"/>
    </row>
    <row r="350" spans="1:7" x14ac:dyDescent="0.4">
      <c r="A350" s="13"/>
    </row>
    <row r="351" spans="1:7" x14ac:dyDescent="0.4">
      <c r="A351" s="13"/>
    </row>
    <row r="352" spans="1:7" x14ac:dyDescent="0.4">
      <c r="A352" s="13"/>
    </row>
    <row r="353" spans="1:1" x14ac:dyDescent="0.4">
      <c r="A353" s="13"/>
    </row>
    <row r="354" spans="1:1" x14ac:dyDescent="0.4">
      <c r="A354" s="13"/>
    </row>
    <row r="355" spans="1:1" x14ac:dyDescent="0.4">
      <c r="A355" s="13"/>
    </row>
    <row r="356" spans="1:1" x14ac:dyDescent="0.4">
      <c r="A356" s="13"/>
    </row>
    <row r="357" spans="1:1" x14ac:dyDescent="0.4">
      <c r="A357" s="13"/>
    </row>
    <row r="358" spans="1:1" x14ac:dyDescent="0.4">
      <c r="A358" s="13"/>
    </row>
    <row r="359" spans="1:1" x14ac:dyDescent="0.4">
      <c r="A359" s="13"/>
    </row>
    <row r="360" spans="1:1" x14ac:dyDescent="0.4">
      <c r="A360" s="13"/>
    </row>
    <row r="361" spans="1:1" x14ac:dyDescent="0.4">
      <c r="A361" s="13"/>
    </row>
    <row r="362" spans="1:1" x14ac:dyDescent="0.4">
      <c r="A362" s="13"/>
    </row>
    <row r="363" spans="1:1" x14ac:dyDescent="0.4">
      <c r="A363" s="13"/>
    </row>
    <row r="364" spans="1:1" x14ac:dyDescent="0.4">
      <c r="A364" s="13"/>
    </row>
    <row r="365" spans="1:1" x14ac:dyDescent="0.4">
      <c r="A365" s="13"/>
    </row>
    <row r="366" spans="1:1" x14ac:dyDescent="0.4">
      <c r="A366" s="13"/>
    </row>
    <row r="367" spans="1:1" x14ac:dyDescent="0.4">
      <c r="A367" s="13"/>
    </row>
    <row r="368" spans="1:1" x14ac:dyDescent="0.4">
      <c r="A368" s="13"/>
    </row>
    <row r="369" spans="1:1" x14ac:dyDescent="0.4">
      <c r="A369" s="13"/>
    </row>
    <row r="370" spans="1:1" x14ac:dyDescent="0.4">
      <c r="A370" s="13"/>
    </row>
    <row r="371" spans="1:1" x14ac:dyDescent="0.4">
      <c r="A371" s="13"/>
    </row>
    <row r="372" spans="1:1" x14ac:dyDescent="0.4">
      <c r="A372" s="13"/>
    </row>
    <row r="373" spans="1:1" x14ac:dyDescent="0.4">
      <c r="A373" s="13"/>
    </row>
    <row r="374" spans="1:1" x14ac:dyDescent="0.4">
      <c r="A374" s="13"/>
    </row>
    <row r="375" spans="1:1" x14ac:dyDescent="0.4">
      <c r="A375" s="13"/>
    </row>
    <row r="376" spans="1:1" x14ac:dyDescent="0.4">
      <c r="A376" s="13"/>
    </row>
    <row r="377" spans="1:1" x14ac:dyDescent="0.4">
      <c r="A377" s="13"/>
    </row>
    <row r="378" spans="1:1" x14ac:dyDescent="0.4">
      <c r="A378" s="13"/>
    </row>
    <row r="379" spans="1:1" x14ac:dyDescent="0.4">
      <c r="A379" s="13"/>
    </row>
    <row r="380" spans="1:1" x14ac:dyDescent="0.4">
      <c r="A380" s="13"/>
    </row>
    <row r="381" spans="1:1" x14ac:dyDescent="0.4">
      <c r="A381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 Chaix</dc:creator>
  <cp:lastModifiedBy>Antonin Chaix</cp:lastModifiedBy>
  <dcterms:created xsi:type="dcterms:W3CDTF">2025-03-11T13:27:41Z</dcterms:created>
  <dcterms:modified xsi:type="dcterms:W3CDTF">2025-03-11T16:05:33Z</dcterms:modified>
</cp:coreProperties>
</file>